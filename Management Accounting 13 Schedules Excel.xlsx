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" sheetId="1" r:id="rId4"/>
    <sheet state="visible" name="Rough work" sheetId="2" r:id="rId5"/>
    <sheet state="visible" name="1. Sales" sheetId="3" r:id="rId6"/>
    <sheet state="visible" name="2. Production" sheetId="4" r:id="rId7"/>
    <sheet state="visible" name="3. RawMaterial" sheetId="5" r:id="rId8"/>
    <sheet state="visible" name="4. Labour" sheetId="6" r:id="rId9"/>
    <sheet state="visible" name="5. Manufacturing" sheetId="7" r:id="rId10"/>
    <sheet state="visible" name="6. Admin Expense" sheetId="8" r:id="rId11"/>
    <sheet state="visible" name="7. Cash Reciept" sheetId="9" r:id="rId12"/>
    <sheet state="visible" name="8. Cash Disbursement" sheetId="10" r:id="rId13"/>
    <sheet state="visible" name="9. Cash Budget" sheetId="11" r:id="rId14"/>
    <sheet state="visible" name="10. COGS" sheetId="12" r:id="rId15"/>
    <sheet state="visible" name="11. Income Statement" sheetId="13" r:id="rId16"/>
    <sheet state="visible" name="12. Cash Flow" sheetId="14" r:id="rId17"/>
    <sheet state="visible" name="13. Balance Sheet" sheetId="15" r:id="rId18"/>
  </sheets>
  <definedNames/>
  <calcPr/>
</workbook>
</file>

<file path=xl/sharedStrings.xml><?xml version="1.0" encoding="utf-8"?>
<sst xmlns="http://schemas.openxmlformats.org/spreadsheetml/2006/main" count="770" uniqueCount="411">
  <si>
    <t>COMPANY NAME:</t>
  </si>
  <si>
    <t>Shahtaj Sugar Mills Limited:</t>
  </si>
  <si>
    <t>Industry Sector:</t>
  </si>
  <si>
    <t>- - - - - - - - - - - - - - - - - - - - - - - - - - - - - - - - -</t>
  </si>
  <si>
    <t>Sugar</t>
  </si>
  <si>
    <t>Product we worked on:</t>
  </si>
  <si>
    <t>- - - - - - - - - - - - - - - - - - - -</t>
  </si>
  <si>
    <t>Last Annual Report:</t>
  </si>
  <si>
    <t>2020-21</t>
  </si>
  <si>
    <t>Budgeted Year:</t>
  </si>
  <si>
    <t>2021-22</t>
  </si>
  <si>
    <t>Growth Rate Sales Revenue</t>
  </si>
  <si>
    <t>Estimated Price for the year 2022 &amp; 2023</t>
  </si>
  <si>
    <t xml:space="preserve">1st </t>
  </si>
  <si>
    <t>2nd</t>
  </si>
  <si>
    <t>3rd</t>
  </si>
  <si>
    <t>4th</t>
  </si>
  <si>
    <t>yearly</t>
  </si>
  <si>
    <t>suppose diff values for 2022 yearly</t>
  </si>
  <si>
    <t>est. price 2022</t>
  </si>
  <si>
    <t>production 2022</t>
  </si>
  <si>
    <t>price per ton</t>
  </si>
  <si>
    <t>2016-17</t>
  </si>
  <si>
    <t>for 4th quarter:</t>
  </si>
  <si>
    <t>yearly:</t>
  </si>
  <si>
    <t>also</t>
  </si>
  <si>
    <t>2017-18</t>
  </si>
  <si>
    <t>revenue sugar</t>
  </si>
  <si>
    <t>total Mtones</t>
  </si>
  <si>
    <t>2018-19</t>
  </si>
  <si>
    <t>2019-20</t>
  </si>
  <si>
    <t>price 2020-21:</t>
  </si>
  <si>
    <t>price last year</t>
  </si>
  <si>
    <t>sales:</t>
  </si>
  <si>
    <t>inflation percent:</t>
  </si>
  <si>
    <t>price:</t>
  </si>
  <si>
    <t>----------&gt;-----------</t>
  </si>
  <si>
    <t>New Price:</t>
  </si>
  <si>
    <t>Growth Rate</t>
  </si>
  <si>
    <t>Infaltion at:</t>
  </si>
  <si>
    <t>Average price</t>
  </si>
  <si>
    <t>Price from market:</t>
  </si>
  <si>
    <t>(FINAL)</t>
  </si>
  <si>
    <t>Average</t>
  </si>
  <si>
    <t>average price for 2021 - 22:</t>
  </si>
  <si>
    <t>Year 2021-22</t>
  </si>
  <si>
    <t>Average price using inflation:</t>
  </si>
  <si>
    <t>divide by 2</t>
  </si>
  <si>
    <t>Inflation for 2023 estimated at:</t>
  </si>
  <si>
    <t>Price chart:</t>
  </si>
  <si>
    <t>price for 2023:</t>
  </si>
  <si>
    <t>Ramadan Price</t>
  </si>
  <si>
    <t>For 3rd</t>
  </si>
  <si>
    <t>For 4th</t>
  </si>
  <si>
    <t>P r o d u c t i o n                         D a t a</t>
  </si>
  <si>
    <t>S  e  a  s  o  n  s</t>
  </si>
  <si>
    <t xml:space="preserve">  2022</t>
  </si>
  <si>
    <t xml:space="preserve">  2021</t>
  </si>
  <si>
    <t>2020</t>
  </si>
  <si>
    <t>Start of season:</t>
  </si>
  <si>
    <t>- - - - - - - - - - -</t>
  </si>
  <si>
    <t>18.11.2021</t>
  </si>
  <si>
    <t>15.11.2020</t>
  </si>
  <si>
    <t>30.11.2019</t>
  </si>
  <si>
    <t>End of season:</t>
  </si>
  <si>
    <t>07.03.2022</t>
  </si>
  <si>
    <t>12.03.2021</t>
  </si>
  <si>
    <t>10.03.2020</t>
  </si>
  <si>
    <t>Number of Days:</t>
  </si>
  <si>
    <t>Raw Material:</t>
  </si>
  <si>
    <t>Sugar Cane Crushed:</t>
  </si>
  <si>
    <t>Recovery:</t>
  </si>
  <si>
    <t>Sugar:</t>
  </si>
  <si>
    <t>Molasses:</t>
  </si>
  <si>
    <t>Production:</t>
  </si>
  <si>
    <r>
      <rPr>
        <rFont val="Arial"/>
        <b/>
        <color rgb="FFFFFFFF"/>
        <sz val="14.0"/>
      </rPr>
      <t>1) Sales Budget for the year 2021-22</t>
    </r>
    <r>
      <rPr>
        <rFont val="Arial"/>
        <b/>
        <i/>
        <color rgb="FFFFFFFF"/>
        <sz val="14.0"/>
      </rPr>
      <t xml:space="preserve">  (Oct-Sept)</t>
    </r>
  </si>
  <si>
    <t>FOR SUGAR</t>
  </si>
  <si>
    <t>1st Quarter</t>
  </si>
  <si>
    <t>2st Quarter</t>
  </si>
  <si>
    <t>3rd Quarter</t>
  </si>
  <si>
    <t>4th Quarter</t>
  </si>
  <si>
    <t>Yearly</t>
  </si>
  <si>
    <t>(Oct-Dec)</t>
  </si>
  <si>
    <t>(Jan-March)</t>
  </si>
  <si>
    <t>(April-June)</t>
  </si>
  <si>
    <t>(July-Sept)</t>
  </si>
  <si>
    <t>Total M.Tons:</t>
  </si>
  <si>
    <t>Total KG's:</t>
  </si>
  <si>
    <t>Price / M.ton:</t>
  </si>
  <si>
    <t>Price / KG:</t>
  </si>
  <si>
    <t>Sales (Rs):</t>
  </si>
  <si>
    <r>
      <rPr>
        <rFont val="Arial"/>
        <b/>
        <color theme="1"/>
      </rPr>
      <t xml:space="preserve">FOR SUGAR </t>
    </r>
    <r>
      <rPr>
        <rFont val="Arial"/>
        <b val="0"/>
        <color theme="1"/>
      </rPr>
      <t>(Product)</t>
    </r>
  </si>
  <si>
    <t>last year production</t>
  </si>
  <si>
    <t>quarters</t>
  </si>
  <si>
    <t>growth rate</t>
  </si>
  <si>
    <t>revenue 2020-21</t>
  </si>
  <si>
    <t>Sales 2021-22</t>
  </si>
  <si>
    <t>Price</t>
  </si>
  <si>
    <t>M.tons</t>
  </si>
  <si>
    <t>This year</t>
  </si>
  <si>
    <t>1st</t>
  </si>
  <si>
    <t>This year production:</t>
  </si>
  <si>
    <t>-&gt;</t>
  </si>
  <si>
    <t>Sugar industry has annually grown by a rate of 4.4% according to the article from Finance Gov.</t>
  </si>
  <si>
    <t xml:space="preserve">The 2022/2023 sugarcane harvested area is slightly reduced due to the impacts of the recent flooding in key production areas. </t>
  </si>
  <si>
    <t xml:space="preserve">As a result, the 2022/23 cane sugar production forecast is lowered to 7 million tons. </t>
  </si>
  <si>
    <t xml:space="preserve">Despite the slight decline in output expected, there will still be an exportable surplus, and the 2022/23 export forecast </t>
  </si>
  <si>
    <t>remains 1 million tons.</t>
  </si>
  <si>
    <t xml:space="preserve">The Federal Bureau of Revenue (FBR) has predicted an increase of 1.5 to 2 million tonnes in sugar production during the </t>
  </si>
  <si>
    <t>upcoming crushing season, citing better growth of the sugarcane crop due to monsoon rains.</t>
  </si>
  <si>
    <r>
      <rPr>
        <rFont val="Arial"/>
        <b/>
        <color rgb="FFFFFFFF"/>
        <sz val="14.0"/>
      </rPr>
      <t>2) Production Budget for the year 2021-22</t>
    </r>
    <r>
      <rPr>
        <rFont val="Arial"/>
        <b/>
        <i/>
        <color rgb="FFFFFFFF"/>
        <sz val="14.0"/>
      </rPr>
      <t xml:space="preserve">  (Oct-Sept)</t>
    </r>
  </si>
  <si>
    <t>Total M.tons:</t>
  </si>
  <si>
    <t>Desired Ending Inventory:</t>
  </si>
  <si>
    <t>(Add)</t>
  </si>
  <si>
    <t>Total Units Required:</t>
  </si>
  <si>
    <t>Expected Begininng Inventory:</t>
  </si>
  <si>
    <t>(Less)</t>
  </si>
  <si>
    <t>Units to be Produced:</t>
  </si>
  <si>
    <t>Dividing total units in two quarters:</t>
  </si>
  <si>
    <t>Total units to be produced:</t>
  </si>
  <si>
    <t>(In First 2 Quarters)</t>
  </si>
  <si>
    <t>FOR PRODUCTION AND RAW MATERIAL</t>
  </si>
  <si>
    <t>Quaters:</t>
  </si>
  <si>
    <t>Sugar Produced:</t>
  </si>
  <si>
    <t>Quaterly Conversion:</t>
  </si>
  <si>
    <t>Average Conversion:</t>
  </si>
  <si>
    <t xml:space="preserve">Using an Average break of 25% &amp; 75% for 1st &amp; 2nd Quarter, respectively. </t>
  </si>
  <si>
    <r>
      <rPr>
        <rFont val="Arial"/>
        <b/>
        <color theme="1"/>
      </rPr>
      <t xml:space="preserve">Inventory for Production:           </t>
    </r>
    <r>
      <rPr>
        <rFont val="Arial"/>
        <b val="0"/>
        <i/>
        <color theme="1"/>
      </rPr>
      <t>(10 percent)</t>
    </r>
  </si>
  <si>
    <t>Ending</t>
  </si>
  <si>
    <t>Begining</t>
  </si>
  <si>
    <t>FOR SUGAR CANE</t>
  </si>
  <si>
    <t>Lets assume the sugar cane prodcution has Decreased: (According to the market)</t>
  </si>
  <si>
    <t xml:space="preserve">As the harvesting season is from november to december, all the production is being done in the 1st and in the 2nd </t>
  </si>
  <si>
    <t>quater, including the purchase of Raw Material (Sugar Cane) that is also being done in the harvesting season.</t>
  </si>
  <si>
    <t>Seeing that our yearly production of units in 2021-22 is:</t>
  </si>
  <si>
    <t>However this is only the units that we are selling, we are also having a surplus saved up...</t>
  </si>
  <si>
    <t>This surplus in raw material, depsite the reduction is raw material availibilty, is still more as there will be extra</t>
  </si>
  <si>
    <t>left over in the ending inventory.</t>
  </si>
  <si>
    <t>Seeing Note 46, we can understand that raw material supply is short and as a result our prouduction for last year was cut short</t>
  </si>
  <si>
    <r>
      <rPr>
        <rFont val="Arial"/>
        <b/>
        <color rgb="FFFFFFFF"/>
        <sz val="14.0"/>
      </rPr>
      <t>3) Direct-Material Budget for the year 2021-22</t>
    </r>
    <r>
      <rPr>
        <rFont val="Arial"/>
        <b/>
        <i/>
        <color rgb="FFFFFFFF"/>
        <sz val="14.0"/>
      </rPr>
      <t xml:space="preserve">  (Oct-Sept)</t>
    </r>
  </si>
  <si>
    <t>FOR SUGAR CANE (Raw Material)</t>
  </si>
  <si>
    <t>Sugar to be produced:</t>
  </si>
  <si>
    <t>Sugar cane recovery rate:</t>
  </si>
  <si>
    <t>(Multiply)</t>
  </si>
  <si>
    <t>Raw Material Required per unit:</t>
  </si>
  <si>
    <t>Raw material required:</t>
  </si>
  <si>
    <t>(For Production)</t>
  </si>
  <si>
    <t>Total Raw material required:</t>
  </si>
  <si>
    <t>Desired Opening Inventory:</t>
  </si>
  <si>
    <t>Raw Material to be purchased:</t>
  </si>
  <si>
    <t>Cost of Raw Material per unit:</t>
  </si>
  <si>
    <t>Total Cost of Raw Material (Rs): </t>
  </si>
  <si>
    <t>Dividing total units in First quarter:</t>
  </si>
  <si>
    <t>Total Cost of Raw Material:</t>
  </si>
  <si>
    <t>(In First Quarter)</t>
  </si>
  <si>
    <t>Sugar Recovery rate for the six past years:</t>
  </si>
  <si>
    <t xml:space="preserve">  2021 </t>
  </si>
  <si>
    <t xml:space="preserve">  2020</t>
  </si>
  <si>
    <t xml:space="preserve">  2019</t>
  </si>
  <si>
    <t xml:space="preserve">  2018</t>
  </si>
  <si>
    <t xml:space="preserve">  2017</t>
  </si>
  <si>
    <t xml:space="preserve">  2016</t>
  </si>
  <si>
    <t>Average Sugar Recovery Rate from sugarcane =</t>
  </si>
  <si>
    <r>
      <rPr>
        <rFont val="Arial"/>
        <b/>
        <color theme="1"/>
      </rPr>
      <t xml:space="preserve">FOR SUGAR CANE </t>
    </r>
    <r>
      <rPr>
        <rFont val="Arial"/>
        <b val="0"/>
        <color theme="1"/>
      </rPr>
      <t>(Raw Material)</t>
    </r>
  </si>
  <si>
    <t>Closing and opening inventory rate:</t>
  </si>
  <si>
    <t>Inventory</t>
  </si>
  <si>
    <t>Closing inventory</t>
  </si>
  <si>
    <t>Opening inventory</t>
  </si>
  <si>
    <t>Price of Sugar Cane (Market)</t>
  </si>
  <si>
    <t>Price per KG</t>
  </si>
  <si>
    <t>Price per M.ton</t>
  </si>
  <si>
    <t>Price:</t>
  </si>
  <si>
    <t>Per KG:</t>
  </si>
  <si>
    <t>Per M.ton:</t>
  </si>
  <si>
    <t>Price of sugar cane is being taken from the market, and for 2022 the price is set to be of 225RS per KG</t>
  </si>
  <si>
    <t>Furthermore, the purchase of suguarcane is done in the first quarter - hence it is a one time purchase that is being made:</t>
  </si>
  <si>
    <r>
      <rPr>
        <rFont val="Arial"/>
        <b/>
        <color rgb="FFFFFFFF"/>
        <sz val="14.0"/>
      </rPr>
      <t>4) Direct-Labour Budget for the year 2021-22</t>
    </r>
    <r>
      <rPr>
        <rFont val="Arial"/>
        <b/>
        <i/>
        <color rgb="FFFFFFFF"/>
        <sz val="14.0"/>
      </rPr>
      <t xml:space="preserve">  (Oct-Sept)</t>
    </r>
  </si>
  <si>
    <t>FOR LABOUR</t>
  </si>
  <si>
    <t>Labour Hour Required per Unit:</t>
  </si>
  <si>
    <t>Total Labour Hours:</t>
  </si>
  <si>
    <t>Labour Cost per Hour:</t>
  </si>
  <si>
    <t>Total Labour Cost:</t>
  </si>
  <si>
    <t>Production Per Day Per KG:</t>
  </si>
  <si>
    <t>Year:</t>
  </si>
  <si>
    <t>production</t>
  </si>
  <si>
    <t>In KGs</t>
  </si>
  <si>
    <t>Days:</t>
  </si>
  <si>
    <t>Average:</t>
  </si>
  <si>
    <t>As Sugar cane needs to be processed urgently before it dries out, therefore the factory runs 24/7 to complete its runs and</t>
  </si>
  <si>
    <t>convert as much sugarcane into the final product as quickly as possibly. Hence, in the first two quarters!</t>
  </si>
  <si>
    <t>Average Labour Salary per month:</t>
  </si>
  <si>
    <r>
      <rPr>
        <sz val="9.0"/>
      </rPr>
      <t xml:space="preserve">(Average salary taken from </t>
    </r>
    <r>
      <rPr>
        <color rgb="FF1155CC"/>
        <sz val="9.0"/>
        <u/>
      </rPr>
      <t>Paycheck.pk</t>
    </r>
    <r>
      <rPr>
        <sz val="9.0"/>
      </rPr>
      <t>)</t>
    </r>
  </si>
  <si>
    <t>number of shifts:</t>
  </si>
  <si>
    <t>Total salary per month:</t>
  </si>
  <si>
    <t>Salary per Day:</t>
  </si>
  <si>
    <t>Salary per hour:</t>
  </si>
  <si>
    <r>
      <rPr>
        <rFont val="Arial"/>
        <b/>
        <color rgb="FFFFFFFF"/>
        <sz val="14.0"/>
      </rPr>
      <t>5) Manufacturing-Overhead Budget for the year 2021-22</t>
    </r>
    <r>
      <rPr>
        <rFont val="Arial"/>
        <b/>
        <i/>
        <color rgb="FFFFFFFF"/>
        <sz val="14.0"/>
      </rPr>
      <t xml:space="preserve">  (Oct-Sept)</t>
    </r>
  </si>
  <si>
    <t>FOR VARIABLE MANUFACUTING OVERHEAD</t>
  </si>
  <si>
    <t>Seeing note number 33, Cost of Sales.</t>
  </si>
  <si>
    <t>FROM COST OF SALES</t>
  </si>
  <si>
    <t>Using Growth Rate on Variable Costs =</t>
  </si>
  <si>
    <t>Dividing into First Two Quarters:</t>
  </si>
  <si>
    <t>Division Percent:</t>
  </si>
  <si>
    <t>VARIABLE COST:</t>
  </si>
  <si>
    <t>Division:</t>
  </si>
  <si>
    <t>Cost of Sugar Cane Procurment:</t>
  </si>
  <si>
    <t>As all production is being done in the first two quarters:</t>
  </si>
  <si>
    <t>Process Materials:</t>
  </si>
  <si>
    <t xml:space="preserve">Fuel &amp; Power: </t>
  </si>
  <si>
    <t>FOR FIXED MANUFACUTING OVERHEAD</t>
  </si>
  <si>
    <t>Stores &amp; Spares Consumed:</t>
  </si>
  <si>
    <t>Repair &amp; Maintainance:</t>
  </si>
  <si>
    <t>Using Inflatiion Rate on Fixed Costs =</t>
  </si>
  <si>
    <t>Other Expenses:</t>
  </si>
  <si>
    <t>Insurance not being affected by the rate, as insurance is fixed for evey year and month:</t>
  </si>
  <si>
    <t>For Fixed we will divide the quarters equally, hence dividing the yearly value by 4</t>
  </si>
  <si>
    <t>TOTAL VARIABLE COST:</t>
  </si>
  <si>
    <t>FIXED COST:</t>
  </si>
  <si>
    <t xml:space="preserve">Salaries, Wages &amp; Other Benefits: </t>
  </si>
  <si>
    <t>Rent, Rate &amp; Taxes:</t>
  </si>
  <si>
    <t>Contribution to Provident Fund:</t>
  </si>
  <si>
    <t>Conveyance &amp; Travelling:</t>
  </si>
  <si>
    <t>Insurance:</t>
  </si>
  <si>
    <t>TOTAL FIXED COST:</t>
  </si>
  <si>
    <t xml:space="preserve">Total Manufacturing-Ovehead Budget: </t>
  </si>
  <si>
    <r>
      <rPr>
        <rFont val="Arial"/>
        <b/>
        <color rgb="FFFFFFFF"/>
        <sz val="14.0"/>
      </rPr>
      <t>6) Selling, General &amp; Administrative Expense Budget FTY 2021-22</t>
    </r>
    <r>
      <rPr>
        <rFont val="Arial"/>
        <b/>
        <i/>
        <color rgb="FFFFFFFF"/>
        <sz val="14.0"/>
      </rPr>
      <t xml:space="preserve">  (Oct-Sept)</t>
    </r>
  </si>
  <si>
    <t>FOR VARIABLE EXPENSE OVERHEAD</t>
  </si>
  <si>
    <t>Seeing note number 34 and 35, Distribution Cost and Administrative Expenses</t>
  </si>
  <si>
    <t>From Distribution Cost:</t>
  </si>
  <si>
    <t>Sugar Bag Handling:</t>
  </si>
  <si>
    <t>From Aministrative Expenses:</t>
  </si>
  <si>
    <t>Repair &amp; Maintainance:</t>
  </si>
  <si>
    <t>FOR FIXED EXPENSE OVERHEAD</t>
  </si>
  <si>
    <t xml:space="preserve">Printing &amp; Stationery: </t>
  </si>
  <si>
    <t>Using Inflation Rate on Fixed Costs =</t>
  </si>
  <si>
    <t>From Amnistrative Expenses:</t>
  </si>
  <si>
    <t>Directors fee:</t>
  </si>
  <si>
    <t>Fuel and power:</t>
  </si>
  <si>
    <t xml:space="preserve">Post and Telephone: </t>
  </si>
  <si>
    <t>Utilities:</t>
  </si>
  <si>
    <t>Rent, rate and Taxes:</t>
  </si>
  <si>
    <t>Auditor's Remuneration:</t>
  </si>
  <si>
    <t xml:space="preserve">Legal and Professional Charged: </t>
  </si>
  <si>
    <t>Donations:</t>
  </si>
  <si>
    <t xml:space="preserve">Conveyance and Travelling; </t>
  </si>
  <si>
    <t>Total Selling, General &amp; Administrative Budget: (RS)</t>
  </si>
  <si>
    <r>
      <rPr>
        <rFont val="Arial"/>
        <b/>
        <color rgb="FFFFFFFF"/>
        <sz val="14.0"/>
      </rPr>
      <t>7) Cash Reciepts Budget for the year 2021-22</t>
    </r>
    <r>
      <rPr>
        <rFont val="Arial"/>
        <b/>
        <i/>
        <color rgb="FFFFFFFF"/>
        <sz val="14.0"/>
      </rPr>
      <t xml:space="preserve">  (Oct-Sept)</t>
    </r>
  </si>
  <si>
    <t>FROM SCHEDULE 1:</t>
  </si>
  <si>
    <t>Sales:</t>
  </si>
  <si>
    <t>Collection of Sale:</t>
  </si>
  <si>
    <t>Percentage:</t>
  </si>
  <si>
    <t>Collection of Following Sale:</t>
  </si>
  <si>
    <t>Total Cash Reciepts: (RS)</t>
  </si>
  <si>
    <t>Uncollectible Accounts:</t>
  </si>
  <si>
    <r>
      <rPr>
        <rFont val="Arial"/>
        <b/>
        <color rgb="FFFFFFFF"/>
        <sz val="14.0"/>
      </rPr>
      <t>8) Cash Disbursement Budget for the year 2021-22</t>
    </r>
    <r>
      <rPr>
        <rFont val="Arial"/>
        <b/>
        <i/>
        <color rgb="FFFFFFFF"/>
        <sz val="14.0"/>
      </rPr>
      <t xml:space="preserve">  (Oct-Sept)</t>
    </r>
  </si>
  <si>
    <t>Cost of Raw Material:</t>
  </si>
  <si>
    <t>(From Schedule 3)</t>
  </si>
  <si>
    <t>Cash Payment for purchases during the quarter:</t>
  </si>
  <si>
    <t>Cash Payment for purchases during the Prior Quarter:</t>
  </si>
  <si>
    <t>Total Cash Payment for Raw Material Purchases:</t>
  </si>
  <si>
    <t>OTHER CASH DISBURSEMENT:</t>
  </si>
  <si>
    <t>FROM SCHEDULE 4:</t>
  </si>
  <si>
    <t>FROM SCHEDULE 5:</t>
  </si>
  <si>
    <t xml:space="preserve">Total Schedule 5 Budget: </t>
  </si>
  <si>
    <t>FROM SCHEDULE 6:</t>
  </si>
  <si>
    <t xml:space="preserve">Total Schedule 6 Budget: </t>
  </si>
  <si>
    <t>Total CASH DISBURSEMENT BUDGET: (RS)</t>
  </si>
  <si>
    <r>
      <rPr>
        <rFont val="Arial"/>
        <b/>
        <color rgb="FFFFFFFF"/>
        <sz val="14.0"/>
      </rPr>
      <t>9) Cash Budget for the year 2021-22</t>
    </r>
    <r>
      <rPr>
        <rFont val="Arial"/>
        <b/>
        <i/>
        <color rgb="FFFFFFFF"/>
        <sz val="14.0"/>
      </rPr>
      <t xml:space="preserve">  (Oct-Sept)</t>
    </r>
  </si>
  <si>
    <t>FOR CASH BUDGET:</t>
  </si>
  <si>
    <t>Construction of Power Project:</t>
  </si>
  <si>
    <t>Work on the construction of Switch Yard of 132KV is in progress, as written in the Director's Report.</t>
  </si>
  <si>
    <t>From note 6.2, Capital Work-in-Progress:</t>
  </si>
  <si>
    <t>Amount</t>
  </si>
  <si>
    <t>FROM SCHEDULE 7:</t>
  </si>
  <si>
    <t>Cash Reciepts:</t>
  </si>
  <si>
    <t>(Minus)</t>
  </si>
  <si>
    <t>FROM SCHEDULE 8:</t>
  </si>
  <si>
    <r>
      <rPr>
        <rFont val="Arial"/>
        <b/>
        <i val="0"/>
        <color theme="1"/>
      </rPr>
      <t>Construction of Switch Yard:</t>
    </r>
    <r>
      <rPr>
        <rFont val="Arial"/>
        <b/>
        <i/>
        <color theme="1"/>
      </rPr>
      <t xml:space="preserve"> </t>
    </r>
    <r>
      <rPr>
        <rFont val="Arial"/>
        <b val="0"/>
        <i/>
        <color theme="1"/>
      </rPr>
      <t>(32MV Power project )</t>
    </r>
  </si>
  <si>
    <t>Cash Disbursements:</t>
  </si>
  <si>
    <t>Change in cash balance during
quarter due to operations: (RS)</t>
  </si>
  <si>
    <t>Cash Balance:</t>
  </si>
  <si>
    <t>Proceeds from bank loan:</t>
  </si>
  <si>
    <t>INTEREST Rate for Loan 1, December 31st, 2021 for first quarter =</t>
  </si>
  <si>
    <t>INTEREST Rate for Loan 2, March 31st, 2022 for the second quarter =</t>
  </si>
  <si>
    <t>Construction of Switch Yard:</t>
  </si>
  <si>
    <t>CALCULATION OF INTEREST:</t>
  </si>
  <si>
    <t>Repayment of principle - bank loan 1:</t>
  </si>
  <si>
    <t>For First Loan: (December 31st)</t>
  </si>
  <si>
    <t>Repayment of principle - bank loan 2:</t>
  </si>
  <si>
    <t>Unpaid Principle:</t>
  </si>
  <si>
    <t>Interest rate:</t>
  </si>
  <si>
    <t>Portion of the year:</t>
  </si>
  <si>
    <t>Interest Payment:</t>
  </si>
  <si>
    <t>Interest on Bank Loan 1:</t>
  </si>
  <si>
    <t>Interest on Bank Loan 2:</t>
  </si>
  <si>
    <t xml:space="preserve">Change in cash balance during the year 2021-2022: </t>
  </si>
  <si>
    <t>---------------------------------------------------------------------------------&gt;</t>
  </si>
  <si>
    <t>For Second Loan: (March 31st)</t>
  </si>
  <si>
    <t>3 quarters total</t>
  </si>
  <si>
    <r>
      <rPr>
        <rFont val="Arial"/>
        <b/>
        <color rgb="FFFFFFFF"/>
        <sz val="14.0"/>
      </rPr>
      <t xml:space="preserve"> 10) Budgeted Schedule for COG Manufactured &amp; Sold FTY 2021-22</t>
    </r>
    <r>
      <rPr>
        <rFont val="Arial"/>
        <b/>
        <i/>
        <color rgb="FFFFFFFF"/>
        <sz val="14.0"/>
      </rPr>
      <t xml:space="preserve">  (Oct-Sept)</t>
    </r>
  </si>
  <si>
    <t>FOR BUDGETED SCHEDULE OF COG MANUFACTURED &amp; SOLD:</t>
  </si>
  <si>
    <t>From Schedule 3</t>
  </si>
  <si>
    <t>FROM SCHEDULE 3:</t>
  </si>
  <si>
    <t>DIRECT MATERIAL Opening and closing inventory in Ruppees:</t>
  </si>
  <si>
    <t>Direct Material:</t>
  </si>
  <si>
    <t>KG</t>
  </si>
  <si>
    <t>Inventory:</t>
  </si>
  <si>
    <r>
      <rPr>
        <rFont val="Arial"/>
        <color theme="1"/>
      </rPr>
      <t>Raw Material Inventory:</t>
    </r>
    <r>
      <rPr>
        <rFont val="Arial"/>
        <i/>
        <color theme="1"/>
      </rPr>
      <t xml:space="preserve"> (October 1st)</t>
    </r>
  </si>
  <si>
    <r>
      <rPr>
        <rFont val="Arial"/>
        <color theme="1"/>
      </rPr>
      <t xml:space="preserve">Raw Material Inventory: </t>
    </r>
    <r>
      <rPr>
        <rFont val="Arial"/>
        <i/>
        <color theme="1"/>
      </rPr>
      <t>(Oct 1st)</t>
    </r>
  </si>
  <si>
    <t>Purchases of Raw Material:</t>
  </si>
  <si>
    <r>
      <rPr>
        <rFont val="Arial"/>
        <color theme="1"/>
      </rPr>
      <t xml:space="preserve">Raw Material Inventory: </t>
    </r>
    <r>
      <rPr>
        <rFont val="Arial"/>
        <i/>
        <color theme="1"/>
      </rPr>
      <t>(Sept 30th)</t>
    </r>
  </si>
  <si>
    <t>Raw Material Available for Use:</t>
  </si>
  <si>
    <r>
      <rPr>
        <rFont val="Arial"/>
        <color theme="1"/>
      </rPr>
      <t xml:space="preserve">Raw Material Inventory: </t>
    </r>
    <r>
      <rPr>
        <rFont val="Arial"/>
        <i/>
        <color theme="1"/>
      </rPr>
      <t>(September 30th)</t>
    </r>
  </si>
  <si>
    <t>From Schedule 2</t>
  </si>
  <si>
    <t>PRODUCTION Opening and closing inventory in Ruppees:</t>
  </si>
  <si>
    <t>Direct Material Used:</t>
  </si>
  <si>
    <t xml:space="preserve"> - - - - - - - - - - - - - - - - - - - - - - - - - - - - </t>
  </si>
  <si>
    <t>Direct Labour:</t>
  </si>
  <si>
    <r>
      <rPr>
        <rFont val="Arial"/>
        <color theme="1"/>
      </rPr>
      <t xml:space="preserve">Sugar Inventory: </t>
    </r>
    <r>
      <rPr>
        <rFont val="Arial"/>
        <i/>
        <color theme="1"/>
      </rPr>
      <t>(Oct 1st)</t>
    </r>
  </si>
  <si>
    <t>Manufacturing Overhead:</t>
  </si>
  <si>
    <r>
      <rPr>
        <rFont val="Arial"/>
        <color theme="1"/>
      </rPr>
      <t xml:space="preserve">Sugar Inventory: </t>
    </r>
    <r>
      <rPr>
        <rFont val="Arial"/>
        <i/>
        <color theme="1"/>
      </rPr>
      <t>(Sept 30th)</t>
    </r>
  </si>
  <si>
    <t>Total Manufacturing Cost:</t>
  </si>
  <si>
    <r>
      <rPr>
        <rFont val="Arial"/>
        <color theme="1"/>
      </rPr>
      <t xml:space="preserve">Work-in-Process Inventory: </t>
    </r>
    <r>
      <rPr>
        <rFont val="Arial"/>
        <i/>
        <color theme="1"/>
      </rPr>
      <t>(October 1st)</t>
    </r>
  </si>
  <si>
    <r>
      <rPr>
        <rFont val="Arial"/>
        <color theme="1"/>
      </rPr>
      <t xml:space="preserve">Work-in-Process Inventory: </t>
    </r>
    <r>
      <rPr>
        <rFont val="Arial"/>
        <i/>
        <color theme="1"/>
      </rPr>
      <t>(September 30st)</t>
    </r>
  </si>
  <si>
    <t>Cost of Goods Manufactured:</t>
  </si>
  <si>
    <t>FROM SCHEDULE 2:</t>
  </si>
  <si>
    <r>
      <rPr>
        <rFont val="Arial"/>
        <color theme="1"/>
      </rPr>
      <t xml:space="preserve">Finished Goods Inventory: </t>
    </r>
    <r>
      <rPr>
        <rFont val="Arial"/>
        <i/>
        <color theme="1"/>
      </rPr>
      <t>(October 1st)</t>
    </r>
  </si>
  <si>
    <t>Cost of Goods Available for Sale:</t>
  </si>
  <si>
    <r>
      <rPr>
        <rFont val="Arial"/>
        <color theme="1"/>
      </rPr>
      <t xml:space="preserve">Finished Goods Inventory: </t>
    </r>
    <r>
      <rPr>
        <rFont val="Arial"/>
        <i/>
        <color theme="1"/>
      </rPr>
      <t>(September 30th)</t>
    </r>
  </si>
  <si>
    <t>Cost of Goods Sold:</t>
  </si>
  <si>
    <t xml:space="preserve">  - - - - - - - - - - - - - - - - - - - - - - - - - - - -  	</t>
  </si>
  <si>
    <r>
      <rPr>
        <rFont val="Arial"/>
        <b/>
        <color rgb="FFFFFFFF"/>
        <sz val="14.0"/>
      </rPr>
      <t xml:space="preserve"> 11) Budgeted Income Statement for the year 2021-22</t>
    </r>
    <r>
      <rPr>
        <rFont val="Arial"/>
        <b/>
        <i/>
        <color rgb="FFFFFFFF"/>
        <sz val="14.0"/>
      </rPr>
      <t xml:space="preserve">  (Oct-Sept)</t>
    </r>
  </si>
  <si>
    <t>Sales Revenue:</t>
  </si>
  <si>
    <t>FROM SCHEDULE 10:</t>
  </si>
  <si>
    <t>Gross Margin:</t>
  </si>
  <si>
    <t xml:space="preserve"> - - - - - - - - - - - -</t>
  </si>
  <si>
    <t>Selling &amp; Administrative Expenses:</t>
  </si>
  <si>
    <t>Uncollectible accounts expense:</t>
  </si>
  <si>
    <t>FROM SCHEDULE 9:</t>
  </si>
  <si>
    <t>Interest expense - Loan 1:</t>
  </si>
  <si>
    <t>Interest expense - Loan 2:</t>
  </si>
  <si>
    <t>Total Other Expenses:</t>
  </si>
  <si>
    <t>NET INCOME:</t>
  </si>
  <si>
    <r>
      <rPr>
        <rFont val="Arial"/>
        <b/>
        <color rgb="FFFFFFFF"/>
        <sz val="14.0"/>
      </rPr>
      <t xml:space="preserve"> 12) Budgeted Statement of Cash Flow for the year 2021-22</t>
    </r>
    <r>
      <rPr>
        <rFont val="Arial"/>
        <b/>
        <i/>
        <color rgb="FFFFFFFF"/>
        <sz val="14.0"/>
      </rPr>
      <t xml:space="preserve">  (Oct-Sept)</t>
    </r>
  </si>
  <si>
    <t>Cash Flow from Operating Activities:</t>
  </si>
  <si>
    <t>Cash Reciepts from Customers:</t>
  </si>
  <si>
    <t>Cash Payments made:</t>
  </si>
  <si>
    <t>To suppliers of Raw Material:</t>
  </si>
  <si>
    <t>For Direct Labour:</t>
  </si>
  <si>
    <t>For Manufacturing-Overhead Expense:</t>
  </si>
  <si>
    <t>For Administrative Expenses:</t>
  </si>
  <si>
    <t>For Interest:</t>
  </si>
  <si>
    <t>Total Cash Payment:</t>
  </si>
  <si>
    <t>Net Cash from Operating Activites:</t>
  </si>
  <si>
    <t>Cash Flow from Investing Activities:</t>
  </si>
  <si>
    <t>Net Cash from Investing Activites:</t>
  </si>
  <si>
    <t>Cash Flow from Financing Activities:</t>
  </si>
  <si>
    <t xml:space="preserve">Principle of Bank Loan: </t>
  </si>
  <si>
    <t>Repayment of Bank Loan:</t>
  </si>
  <si>
    <t>Net Cash from Financing Activites:</t>
  </si>
  <si>
    <t>Net Increase/Decrease in Cash and Cash Equilivants:</t>
  </si>
  <si>
    <t>Change in cash - Beginning of the year:</t>
  </si>
  <si>
    <t>Balance in Cash Equilivants - End of the Year:</t>
  </si>
  <si>
    <r>
      <rPr>
        <rFont val="Arial"/>
        <b/>
        <color rgb="FFFFFFFF"/>
        <sz val="14.0"/>
      </rPr>
      <t xml:space="preserve"> 13) Budgeted Balance Sheet for the year 2021-22</t>
    </r>
    <r>
      <rPr>
        <rFont val="Arial"/>
        <b/>
        <i/>
        <color rgb="FFFFFFFF"/>
        <sz val="14.0"/>
      </rPr>
      <t xml:space="preserve">  (Oct-Sept)</t>
    </r>
  </si>
  <si>
    <t>ASSETS</t>
  </si>
  <si>
    <t>Values From 2021</t>
  </si>
  <si>
    <t>Current Assets:</t>
  </si>
  <si>
    <t>Cash:</t>
  </si>
  <si>
    <t>.</t>
  </si>
  <si>
    <t>Accounts Recievables:</t>
  </si>
  <si>
    <t>Bank Guarantee Margin:</t>
  </si>
  <si>
    <t xml:space="preserve">Finished Goods: </t>
  </si>
  <si>
    <t>Loans:</t>
  </si>
  <si>
    <t>Total Inventory:</t>
  </si>
  <si>
    <t xml:space="preserve">Total Current Assets: </t>
  </si>
  <si>
    <t>Non-Current Assets:</t>
  </si>
  <si>
    <t>Investment in Associate:</t>
  </si>
  <si>
    <t xml:space="preserve">Total Non-Current Assets: </t>
  </si>
  <si>
    <t>Long Lived Assets:</t>
  </si>
  <si>
    <t>rate:</t>
  </si>
  <si>
    <t>Building:</t>
  </si>
  <si>
    <t>Equipment:</t>
  </si>
  <si>
    <t>investment in 2022:</t>
  </si>
  <si>
    <t>(Accumulated Depreciation)</t>
  </si>
  <si>
    <t>with 4 percent growth rate</t>
  </si>
  <si>
    <t>On Building: </t>
  </si>
  <si>
    <t>On Equipment:</t>
  </si>
  <si>
    <t>Acc .Depreciation:</t>
  </si>
  <si>
    <t>Net Accumulated Depreciation:</t>
  </si>
  <si>
    <t>Charge of the year:</t>
  </si>
  <si>
    <t xml:space="preserve">Total Assets: </t>
  </si>
  <si>
    <t>LIABILITIES &amp; OWNER'S EQUITY</t>
  </si>
  <si>
    <t>Current Liabilities:</t>
  </si>
  <si>
    <t>Accounts Payable:</t>
  </si>
  <si>
    <t>Provision for Taxation:</t>
  </si>
  <si>
    <t>Unclaimed Divident:</t>
  </si>
  <si>
    <t>Current maturity of lease liabilities:</t>
  </si>
  <si>
    <t>Total Current Liabilites:</t>
  </si>
  <si>
    <t>Non-Current Liabilities:</t>
  </si>
  <si>
    <t>Loan from Associates:</t>
  </si>
  <si>
    <t>Deferred Tax:</t>
  </si>
  <si>
    <t xml:space="preserve">Total Non-Current Liabilities: </t>
  </si>
  <si>
    <t>Long-Term Liabilities:</t>
  </si>
  <si>
    <t>Notes Payable:</t>
  </si>
  <si>
    <t xml:space="preserve">Total long-Term Liabilities: </t>
  </si>
  <si>
    <t>Equity:</t>
  </si>
  <si>
    <t>FROM SCHEDULE 11:</t>
  </si>
  <si>
    <t>Owner's Equity:</t>
  </si>
  <si>
    <t xml:space="preserve">Loan from Directors: </t>
  </si>
  <si>
    <t>Total Equity:</t>
  </si>
  <si>
    <t xml:space="preserve">Total Liabilities &amp; Owner's Equity: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</si>
</sst>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Rs&quot; #,##0_);_(&quot;Rs&quot; \(#,##0\);_(&quot;&quot;* &quot;-&quot;??_);_(@_)"/>
    <numFmt numFmtId="165" formatCode="_( #,##0_ &quot;M.ton&quot;;_ \(#,##0\)&quot; M.ton&quot;;_(&quot;&quot;* &quot;-&quot;??_);_(@_)"/>
    <numFmt numFmtId="166" formatCode="_(&quot;Rs&quot; #,##0.00_);_(&quot;Rs&quot; \(#,##0.00\);_(&quot;&quot;* &quot;-&quot;??.00_);_(@_)"/>
    <numFmt numFmtId="167" formatCode="_( #,##0_ &quot;M.tons&quot;;_(&quot;Rs&quot; \(#,##0\);_(&quot;&quot;* &quot;-&quot;??_);_(@_)"/>
    <numFmt numFmtId="168" formatCode="_( #,##0_)&quot;Kg&quot;;_( \(#,##0\)&quot;Kg&quot;;_(&quot;&quot;* &quot;-&quot;??_);_(@_)"/>
    <numFmt numFmtId="169" formatCode="_( #,##0_ &quot;M.ton&quot;;_(&quot;Rs&quot; \(#,##0\);_(&quot;&quot;* &quot;-&quot;??_);_(@_)"/>
    <numFmt numFmtId="170" formatCode="#,##0.000"/>
    <numFmt numFmtId="171" formatCode="_( #,##0_ &quot;Kg&quot;;_ \(#,##0\)&quot; M.ton&quot;;_(&quot;&quot;* &quot;-&quot;??_);_(@_)"/>
    <numFmt numFmtId="172" formatCode="&quot; &quot;yyyy&quot;  &quot;"/>
    <numFmt numFmtId="173" formatCode="_(&quot;Rs&quot;* #,##0_);_(&quot;Rs&quot;* \(#,##0\);_(&quot;&quot;* &quot;-&quot;??_);_(@_)"/>
  </numFmts>
  <fonts count="67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theme="1"/>
      <name val="Times New Roman"/>
    </font>
    <font/>
    <font>
      <sz val="24.0"/>
      <color theme="1"/>
      <name val="Times New Roman"/>
    </font>
    <font>
      <b/>
      <color theme="1"/>
      <name val="Times New Roman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b/>
      <strike/>
      <color rgb="FFFF0000"/>
      <name val="Arial"/>
      <scheme val="minor"/>
    </font>
    <font>
      <color rgb="FF000000"/>
      <name val="Arial"/>
      <scheme val="minor"/>
    </font>
    <font>
      <b/>
      <i/>
      <color rgb="FFFFFFFF"/>
      <name val="Arial"/>
      <scheme val="minor"/>
    </font>
    <font>
      <b/>
      <sz val="14.0"/>
      <color rgb="FFFFFFFF"/>
      <name val="Arial"/>
      <scheme val="minor"/>
    </font>
    <font>
      <b/>
      <sz val="12.0"/>
      <color rgb="FF1155CC"/>
      <name val="Arial"/>
      <scheme val="minor"/>
    </font>
    <font>
      <b/>
      <sz val="11.0"/>
      <color rgb="FF000000"/>
      <name val="Arial"/>
      <scheme val="minor"/>
    </font>
    <font>
      <i/>
      <color rgb="FF000000"/>
      <name val="Arial"/>
      <scheme val="minor"/>
    </font>
    <font>
      <i/>
      <color rgb="FF666666"/>
      <name val="Arial"/>
      <scheme val="minor"/>
    </font>
    <font>
      <b/>
      <i/>
      <color rgb="FF000000"/>
      <name val="Arial"/>
      <scheme val="minor"/>
    </font>
    <font>
      <i/>
      <sz val="10.0"/>
      <color rgb="FF999999"/>
      <name val="Arial"/>
      <scheme val="minor"/>
    </font>
    <font>
      <i/>
      <color rgb="FF999999"/>
      <name val="Arial"/>
      <scheme val="minor"/>
    </font>
    <font>
      <sz val="9.0"/>
      <color rgb="FF4A86E8"/>
      <name val="Times New Roman"/>
    </font>
    <font>
      <b/>
      <color rgb="FF1155CC"/>
      <name val="Arial"/>
      <scheme val="minor"/>
    </font>
    <font>
      <b/>
      <color rgb="FF000000"/>
      <name val="Arial"/>
      <scheme val="minor"/>
    </font>
    <font>
      <b/>
      <color rgb="FF999999"/>
      <name val="Arial"/>
      <scheme val="minor"/>
    </font>
    <font>
      <color rgb="FF999999"/>
      <name val="Arial"/>
      <scheme val="minor"/>
    </font>
    <font>
      <i/>
      <color rgb="FF1155CC"/>
      <name val="Arial"/>
      <scheme val="minor"/>
    </font>
    <font>
      <color rgb="FFFFFFFF"/>
      <name val="Arial"/>
      <scheme val="minor"/>
    </font>
    <font>
      <color rgb="FF1155CC"/>
      <name val="Arial"/>
      <scheme val="minor"/>
    </font>
    <font>
      <i/>
      <sz val="9.0"/>
      <color rgb="FF666666"/>
      <name val="Arial"/>
      <scheme val="minor"/>
    </font>
    <font>
      <i/>
      <sz val="9.0"/>
      <color theme="1"/>
      <name val="Arial"/>
      <scheme val="minor"/>
    </font>
    <font>
      <i/>
      <color rgb="FF1C4587"/>
      <name val="Arial"/>
      <scheme val="minor"/>
    </font>
    <font>
      <b/>
      <color rgb="FF0000FF"/>
      <name val="Arial"/>
      <scheme val="minor"/>
    </font>
    <font>
      <color theme="8"/>
      <name val="Arial"/>
      <scheme val="minor"/>
    </font>
    <font>
      <b/>
      <color theme="8"/>
      <name val="Arial"/>
      <scheme val="minor"/>
    </font>
    <font>
      <sz val="9.0"/>
      <color rgb="FF4A86E8"/>
      <name val="&quot;Times New Roman&quot;"/>
    </font>
    <font>
      <color rgb="FF4A86E8"/>
      <name val="&quot;Times New Roman&quot;"/>
    </font>
    <font>
      <b/>
      <sz val="10.0"/>
      <color theme="1"/>
      <name val="Arial"/>
      <scheme val="minor"/>
    </font>
    <font>
      <b/>
      <sz val="10.0"/>
      <color rgb="FF1155CC"/>
      <name val="Arial"/>
      <scheme val="minor"/>
    </font>
    <font>
      <color rgb="FF0000FF"/>
      <name val="Arial"/>
      <scheme val="minor"/>
    </font>
    <font>
      <b/>
      <color rgb="FF1C4587"/>
      <name val="Arial"/>
      <scheme val="minor"/>
    </font>
    <font>
      <i/>
      <color rgb="FF4A86E8"/>
      <name val="Arial"/>
      <scheme val="minor"/>
    </font>
    <font>
      <b/>
      <sz val="9.0"/>
      <color rgb="FF0000FF"/>
      <name val="Arial"/>
      <scheme val="minor"/>
    </font>
    <font>
      <b/>
      <i/>
      <sz val="9.0"/>
      <color rgb="FF4A86E8"/>
      <name val="Times New Roman"/>
    </font>
    <font>
      <color rgb="FF1C4587"/>
      <name val="Arial"/>
      <scheme val="minor"/>
    </font>
    <font>
      <b/>
      <color rgb="FF4A86E8"/>
      <name val="Arial"/>
      <scheme val="minor"/>
    </font>
    <font>
      <b/>
      <sz val="10.0"/>
      <color rgb="FF000000"/>
      <name val="Arial"/>
      <scheme val="minor"/>
    </font>
    <font>
      <b/>
      <sz val="10.0"/>
      <color theme="0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i/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  <font>
      <u/>
      <sz val="9.0"/>
      <color rgb="FF0000FF"/>
    </font>
    <font>
      <b/>
      <i/>
      <sz val="9.0"/>
      <color rgb="FF666666"/>
      <name val="Arial"/>
      <scheme val="minor"/>
    </font>
    <font>
      <b/>
      <sz val="9.0"/>
      <color rgb="FF1C4587"/>
      <name val="Times New Roman"/>
    </font>
    <font>
      <b/>
      <sz val="10.0"/>
      <color theme="8"/>
      <name val="Times New Roman"/>
    </font>
    <font>
      <b/>
      <sz val="10.0"/>
      <color rgb="FF1C4587"/>
      <name val="Times New Roman"/>
    </font>
    <font>
      <b/>
      <sz val="10.0"/>
      <color rgb="FFFF6D01"/>
      <name val="Times New Roman"/>
    </font>
    <font>
      <i/>
      <sz val="9.0"/>
      <color rgb="FF000000"/>
      <name val="Arial"/>
      <scheme val="minor"/>
    </font>
    <font>
      <color rgb="FFFF6D01"/>
      <name val="Arial"/>
      <scheme val="minor"/>
    </font>
    <font>
      <b/>
      <color rgb="FF000000"/>
      <name val="Arial"/>
    </font>
    <font>
      <b/>
      <i/>
      <color rgb="FF4A86E8"/>
      <name val="Arial"/>
    </font>
    <font>
      <b/>
      <i/>
      <color rgb="FF4A86E8"/>
      <name val="Arial"/>
      <scheme val="minor"/>
    </font>
    <font>
      <b/>
      <sz val="9.0"/>
      <color rgb="FFFF6D01"/>
      <name val="Times New Roman"/>
    </font>
    <font>
      <b/>
      <sz val="9.0"/>
      <color theme="1"/>
      <name val="Arial"/>
      <scheme val="minor"/>
    </font>
    <font>
      <color rgb="FF4A86E8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E2EBED"/>
        <bgColor rgb="FFE2EBED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116">
    <border/>
    <border>
      <top style="dotted">
        <color rgb="FF000000"/>
      </top>
    </border>
    <border>
      <bottom style="double">
        <color rgb="FF000000"/>
      </bottom>
    </border>
    <border>
      <left style="thick">
        <color rgb="FF000000"/>
      </lef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FF0000"/>
      </left>
      <right style="thick">
        <color rgb="FFFF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dotted">
        <color rgb="FF000000"/>
      </right>
    </border>
    <border>
      <bottom style="thin">
        <color rgb="FF666666"/>
      </bottom>
    </border>
    <border>
      <right style="thick">
        <color rgb="FF000000"/>
      </right>
      <bottom style="thin">
        <color rgb="FF666666"/>
      </bottom>
    </border>
    <border>
      <top style="dotted">
        <color rgb="FF666666"/>
      </top>
    </border>
    <border>
      <right style="thick">
        <color rgb="FF000000"/>
      </right>
      <top style="dotted">
        <color rgb="FF666666"/>
      </top>
    </border>
    <border>
      <bottom style="dotted">
        <color rgb="FF666666"/>
      </bottom>
    </border>
    <border>
      <right style="thick">
        <color rgb="FF000000"/>
      </right>
      <bottom style="dotted">
        <color rgb="FF666666"/>
      </bottom>
    </border>
    <border>
      <top style="dotted">
        <color rgb="FF666666"/>
      </top>
      <bottom style="dotted">
        <color rgb="FF666666"/>
      </bottom>
    </border>
    <border>
      <right style="thick">
        <color rgb="FF000000"/>
      </right>
      <top style="dotted">
        <color rgb="FF666666"/>
      </top>
      <bottom style="dotted">
        <color rgb="FF666666"/>
      </bottom>
    </border>
    <border>
      <top style="double">
        <color rgb="FF000000"/>
      </top>
      <bottom style="double">
        <color rgb="FF666666"/>
      </bottom>
    </border>
    <border>
      <right style="thick">
        <color rgb="FF000000"/>
      </right>
      <top style="double">
        <color rgb="FF000000"/>
      </top>
      <bottom style="double">
        <color rgb="FF666666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666666"/>
      </bottom>
    </border>
    <border>
      <top style="thin">
        <color rgb="FF000000"/>
      </top>
      <bottom style="double">
        <color rgb="FF666666"/>
      </bottom>
    </border>
    <border>
      <right style="thick">
        <color rgb="FF000000"/>
      </right>
      <top style="thin">
        <color rgb="FF000000"/>
      </top>
      <bottom style="double">
        <color rgb="FF666666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top style="hair">
        <color rgb="FF000000"/>
      </top>
    </border>
    <border>
      <right style="thick">
        <color rgb="FF000000"/>
      </right>
      <top style="hair">
        <color rgb="FF000000"/>
      </top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bottom style="double">
        <color rgb="FF666666"/>
      </bottom>
    </border>
    <border>
      <right style="thick">
        <color rgb="FF000000"/>
      </right>
      <bottom style="double">
        <color rgb="FF666666"/>
      </bottom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right style="thick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ck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tted">
        <color rgb="FF000000"/>
      </left>
    </border>
    <border>
      <left style="dotted">
        <color rgb="FF000000"/>
      </left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right style="thick">
        <color rgb="FF000000"/>
      </right>
      <top style="dotted">
        <color rgb="FF000000"/>
      </top>
      <bottom style="thin">
        <color rgb="FF000000"/>
      </bottom>
    </border>
    <border>
      <right style="thick">
        <color rgb="FF000000"/>
      </right>
      <top style="dotted">
        <color rgb="FF000000"/>
      </top>
    </border>
    <border>
      <top style="double">
        <color rgb="FF000000"/>
      </top>
      <bottom style="double">
        <color rgb="FF000000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double">
        <color rgb="FF666666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tted">
        <color rgb="FF000000"/>
      </right>
      <top style="thin">
        <color rgb="FF000000"/>
      </top>
      <bottom style="double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bottom style="double">
        <color rgb="FF000000"/>
      </bottom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  <bottom style="double">
        <color rgb="FF000000"/>
      </bottom>
    </border>
    <border>
      <top style="thin">
        <color rgb="FF000000"/>
      </top>
      <bottom style="dotted">
        <color rgb="FF000000"/>
      </bottom>
    </border>
    <border>
      <right style="thick">
        <color rgb="FF000000"/>
      </right>
      <top style="thin">
        <color rgb="FF000000"/>
      </top>
      <bottom style="dotted">
        <color rgb="FF000000"/>
      </bottom>
    </border>
    <border>
      <top style="double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666666"/>
      </bottom>
    </border>
    <border>
      <right style="thin">
        <color rgb="FF000000"/>
      </right>
      <bottom style="double">
        <color rgb="FF666666"/>
      </bottom>
    </border>
    <border>
      <left style="dotted">
        <color rgb="FF000000"/>
      </left>
      <right style="dotted">
        <color rgb="FF000000"/>
      </right>
    </border>
  </borders>
  <cellStyleXfs count="1">
    <xf borderId="0" fillId="0" fontId="0" numFmtId="0" applyAlignment="1" applyFont="1"/>
  </cellStyleXfs>
  <cellXfs count="6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 readingOrder="0" vertical="center"/>
    </xf>
    <xf borderId="1" fillId="0" fontId="3" numFmtId="0" xfId="0" applyBorder="1" applyFont="1"/>
    <xf borderId="1" fillId="2" fontId="2" numFmtId="0" xfId="0" applyAlignment="1" applyBorder="1" applyFont="1">
      <alignment readingOrder="0" vertical="center"/>
    </xf>
    <xf borderId="0" fillId="2" fontId="2" numFmtId="0" xfId="0" applyAlignment="1" applyFont="1">
      <alignment horizontal="left" readingOrder="0" vertical="center"/>
    </xf>
    <xf borderId="2" fillId="0" fontId="3" numFmtId="0" xfId="0" applyBorder="1" applyFont="1"/>
    <xf borderId="2" fillId="2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3" fontId="6" numFmtId="164" xfId="0" applyAlignment="1" applyFill="1" applyFont="1" applyNumberFormat="1">
      <alignment horizontal="center" readingOrder="0" vertical="center"/>
    </xf>
    <xf borderId="3" fillId="0" fontId="6" numFmtId="164" xfId="0" applyAlignment="1" applyBorder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0" fillId="0" fontId="6" numFmtId="164" xfId="0" applyAlignment="1" applyFont="1" applyNumberFormat="1">
      <alignment horizontal="center" readingOrder="0" vertical="center"/>
    </xf>
    <xf borderId="3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3" fontId="1" numFmtId="164" xfId="0" applyAlignment="1" applyFont="1" applyNumberFormat="1">
      <alignment vertical="center"/>
    </xf>
    <xf borderId="10" fillId="0" fontId="1" numFmtId="164" xfId="0" applyAlignment="1" applyBorder="1" applyFont="1" applyNumberFormat="1">
      <alignment vertical="center"/>
    </xf>
    <xf borderId="11" fillId="0" fontId="7" numFmtId="164" xfId="0" applyAlignment="1" applyBorder="1" applyFont="1" applyNumberFormat="1">
      <alignment horizontal="center" readingOrder="0" vertical="center"/>
    </xf>
    <xf borderId="12" fillId="0" fontId="7" numFmtId="164" xfId="0" applyAlignment="1" applyBorder="1" applyFont="1" applyNumberFormat="1">
      <alignment horizontal="center" readingOrder="0" vertical="center"/>
    </xf>
    <xf borderId="5" fillId="0" fontId="8" numFmtId="164" xfId="0" applyAlignment="1" applyBorder="1" applyFont="1" applyNumberFormat="1">
      <alignment horizontal="center" readingOrder="0" vertical="center"/>
    </xf>
    <xf borderId="13" fillId="0" fontId="3" numFmtId="0" xfId="0" applyBorder="1" applyFont="1"/>
    <xf borderId="14" fillId="0" fontId="1" numFmtId="164" xfId="0" applyAlignment="1" applyBorder="1" applyFont="1" applyNumberFormat="1">
      <alignment vertical="center"/>
    </xf>
    <xf borderId="13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15" fillId="0" fontId="1" numFmtId="164" xfId="0" applyAlignment="1" applyBorder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3" fontId="7" numFmtId="164" xfId="0" applyAlignment="1" applyFont="1" applyNumberFormat="1">
      <alignment horizontal="center" readingOrder="0" vertical="center"/>
    </xf>
    <xf borderId="3" fillId="0" fontId="7" numFmtId="164" xfId="0" applyAlignment="1" applyBorder="1" applyFont="1" applyNumberFormat="1">
      <alignment horizontal="center" readingOrder="0" vertical="center"/>
    </xf>
    <xf borderId="0" fillId="3" fontId="0" numFmtId="164" xfId="0" applyAlignment="1" applyFont="1" applyNumberFormat="1">
      <alignment horizontal="center" readingOrder="0" vertical="center"/>
    </xf>
    <xf borderId="16" fillId="0" fontId="1" numFmtId="164" xfId="0" applyAlignment="1" applyBorder="1" applyFont="1" applyNumberFormat="1">
      <alignment horizontal="center" readingOrder="0" vertical="center"/>
    </xf>
    <xf borderId="0" fillId="0" fontId="8" numFmtId="164" xfId="0" applyAlignment="1" applyFont="1" applyNumberFormat="1">
      <alignment horizontal="right" readingOrder="0" vertical="center"/>
    </xf>
    <xf borderId="17" fillId="0" fontId="9" numFmtId="164" xfId="0" applyAlignment="1" applyBorder="1" applyFont="1" applyNumberFormat="1">
      <alignment horizontal="center" readingOrder="0" vertical="center"/>
    </xf>
    <xf borderId="18" fillId="0" fontId="1" numFmtId="164" xfId="0" applyAlignment="1" applyBorder="1" applyFont="1" applyNumberFormat="1">
      <alignment horizontal="right" readingOrder="0" vertical="center"/>
    </xf>
    <xf borderId="19" fillId="0" fontId="1" numFmtId="164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vertical="center"/>
    </xf>
    <xf borderId="17" fillId="0" fontId="3" numFmtId="0" xfId="0" applyBorder="1" applyFont="1"/>
    <xf borderId="19" fillId="0" fontId="8" numFmtId="164" xfId="0" applyAlignment="1" applyBorder="1" applyFont="1" applyNumberFormat="1">
      <alignment horizontal="left" vertical="center"/>
    </xf>
    <xf borderId="18" fillId="0" fontId="1" numFmtId="164" xfId="0" applyAlignment="1" applyBorder="1" applyFont="1" applyNumberFormat="1">
      <alignment readingOrder="0" vertical="center"/>
    </xf>
    <xf borderId="8" fillId="0" fontId="8" numFmtId="164" xfId="0" applyAlignment="1" applyBorder="1" applyFont="1" applyNumberFormat="1">
      <alignment vertical="center"/>
    </xf>
    <xf borderId="20" fillId="0" fontId="3" numFmtId="0" xfId="0" applyBorder="1" applyFont="1"/>
    <xf borderId="21" fillId="0" fontId="8" numFmtId="164" xfId="0" applyAlignment="1" applyBorder="1" applyFont="1" applyNumberFormat="1">
      <alignment horizontal="left" vertical="center"/>
    </xf>
    <xf borderId="15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3" fontId="1" numFmtId="165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2" fillId="4" fontId="7" numFmtId="164" xfId="0" applyAlignment="1" applyBorder="1" applyFill="1" applyFont="1" applyNumberFormat="1">
      <alignment horizontal="right" readingOrder="0" vertical="center"/>
    </xf>
    <xf borderId="23" fillId="0" fontId="3" numFmtId="0" xfId="0" applyBorder="1" applyFont="1"/>
    <xf borderId="24" fillId="4" fontId="7" numFmtId="164" xfId="0" applyAlignment="1" applyBorder="1" applyFont="1" applyNumberFormat="1">
      <alignment readingOrder="0" vertical="center"/>
    </xf>
    <xf borderId="4" fillId="0" fontId="1" numFmtId="164" xfId="0" applyAlignment="1" applyBorder="1" applyFont="1" applyNumberFormat="1">
      <alignment horizontal="right" readingOrder="0" vertical="center"/>
    </xf>
    <xf borderId="0" fillId="0" fontId="1" numFmtId="164" xfId="0" applyAlignment="1" applyFont="1" applyNumberFormat="1">
      <alignment vertical="center"/>
    </xf>
    <xf borderId="15" fillId="0" fontId="1" numFmtId="164" xfId="0" applyAlignment="1" applyBorder="1" applyFont="1" applyNumberFormat="1">
      <alignment horizontal="center" vertical="center"/>
    </xf>
    <xf borderId="0" fillId="3" fontId="1" numFmtId="164" xfId="0" applyAlignment="1" applyFont="1" applyNumberFormat="1">
      <alignment horizontal="center" vertical="center"/>
    </xf>
    <xf borderId="0" fillId="3" fontId="10" numFmtId="164" xfId="0" applyAlignment="1" applyFont="1" applyNumberFormat="1">
      <alignment horizontal="center" readingOrder="0" vertical="center"/>
    </xf>
    <xf borderId="3" fillId="0" fontId="10" numFmtId="164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25" fillId="0" fontId="7" numFmtId="10" xfId="0" applyAlignment="1" applyBorder="1" applyFont="1" applyNumberFormat="1">
      <alignment horizontal="center" readingOrder="0" vertical="center"/>
    </xf>
    <xf borderId="19" fillId="0" fontId="7" numFmtId="164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readingOrder="0" vertical="center"/>
    </xf>
    <xf borderId="18" fillId="0" fontId="1" numFmtId="164" xfId="0" applyAlignment="1" applyBorder="1" applyFont="1" applyNumberFormat="1">
      <alignment horizontal="center" vertical="center"/>
    </xf>
    <xf borderId="26" fillId="0" fontId="1" numFmtId="164" xfId="0" applyAlignment="1" applyBorder="1" applyFont="1" applyNumberFormat="1">
      <alignment readingOrder="0" vertical="center"/>
    </xf>
    <xf borderId="27" fillId="3" fontId="1" numFmtId="166" xfId="0" applyAlignment="1" applyBorder="1" applyFont="1" applyNumberFormat="1">
      <alignment horizontal="center" readingOrder="0" vertical="center"/>
    </xf>
    <xf borderId="28" fillId="0" fontId="1" numFmtId="164" xfId="0" applyAlignment="1" applyBorder="1" applyFont="1" applyNumberFormat="1">
      <alignment horizontal="center" vertical="center"/>
    </xf>
    <xf borderId="0" fillId="3" fontId="1" numFmtId="10" xfId="0" applyAlignment="1" applyFont="1" applyNumberFormat="1">
      <alignment horizontal="center" vertical="center"/>
    </xf>
    <xf borderId="29" fillId="0" fontId="1" numFmtId="164" xfId="0" applyAlignment="1" applyBorder="1" applyFont="1" applyNumberFormat="1">
      <alignment horizontal="center" readingOrder="0" vertical="center"/>
    </xf>
    <xf borderId="24" fillId="0" fontId="3" numFmtId="0" xfId="0" applyBorder="1" applyFont="1"/>
    <xf borderId="3" fillId="0" fontId="1" numFmtId="164" xfId="0" applyAlignment="1" applyBorder="1" applyFont="1" applyNumberFormat="1">
      <alignment readingOrder="0" vertical="center"/>
    </xf>
    <xf borderId="3" fillId="0" fontId="1" numFmtId="10" xfId="0" applyAlignment="1" applyBorder="1" applyFont="1" applyNumberFormat="1">
      <alignment horizontal="center" readingOrder="0" vertical="center"/>
    </xf>
    <xf borderId="0" fillId="3" fontId="8" numFmtId="164" xfId="0" applyAlignment="1" applyFont="1" applyNumberFormat="1">
      <alignment horizontal="center" readingOrder="0" vertical="center"/>
    </xf>
    <xf borderId="0" fillId="0" fontId="8" numFmtId="10" xfId="0" applyAlignment="1" applyFont="1" applyNumberFormat="1">
      <alignment horizontal="center" readingOrder="0" vertical="center"/>
    </xf>
    <xf borderId="3" fillId="0" fontId="1" numFmtId="0" xfId="0" applyBorder="1" applyFont="1"/>
    <xf borderId="25" fillId="0" fontId="8" numFmtId="10" xfId="0" applyAlignment="1" applyBorder="1" applyFont="1" applyNumberFormat="1">
      <alignment horizontal="center" readingOrder="0" vertical="center"/>
    </xf>
    <xf borderId="19" fillId="0" fontId="8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30" fillId="0" fontId="8" numFmtId="10" xfId="0" applyAlignment="1" applyBorder="1" applyFont="1" applyNumberFormat="1">
      <alignment horizontal="center" readingOrder="0" vertical="center"/>
    </xf>
    <xf borderId="21" fillId="0" fontId="8" numFmtId="164" xfId="0" applyAlignment="1" applyBorder="1" applyFont="1" applyNumberFormat="1">
      <alignment horizontal="center" vertical="center"/>
    </xf>
    <xf borderId="31" fillId="0" fontId="1" numFmtId="164" xfId="0" applyAlignment="1" applyBorder="1" applyFont="1" applyNumberFormat="1">
      <alignment vertical="center"/>
    </xf>
    <xf borderId="32" fillId="3" fontId="1" numFmtId="164" xfId="0" applyAlignment="1" applyBorder="1" applyFont="1" applyNumberFormat="1">
      <alignment horizontal="center" readingOrder="0" vertical="center"/>
    </xf>
    <xf borderId="33" fillId="0" fontId="1" numFmtId="164" xfId="0" applyAlignment="1" applyBorder="1" applyFont="1" applyNumberFormat="1">
      <alignment horizontal="center" vertical="center"/>
    </xf>
    <xf borderId="34" fillId="0" fontId="6" numFmtId="164" xfId="0" applyAlignment="1" applyBorder="1" applyFont="1" applyNumberFormat="1">
      <alignment horizontal="center" readingOrder="0" vertical="center"/>
    </xf>
    <xf borderId="19" fillId="0" fontId="1" numFmtId="164" xfId="0" applyAlignment="1" applyBorder="1" applyFont="1" applyNumberFormat="1">
      <alignment horizontal="right" readingOrder="0" vertical="center"/>
    </xf>
    <xf borderId="19" fillId="0" fontId="1" numFmtId="164" xfId="0" applyAlignment="1" applyBorder="1" applyFont="1" applyNumberFormat="1">
      <alignment horizontal="center" readingOrder="0" vertical="center"/>
    </xf>
    <xf borderId="35" fillId="5" fontId="1" numFmtId="164" xfId="0" applyAlignment="1" applyBorder="1" applyFill="1" applyFont="1" applyNumberFormat="1">
      <alignment horizontal="center" readingOrder="0" vertical="center"/>
    </xf>
    <xf borderId="0" fillId="3" fontId="1" numFmtId="164" xfId="0" applyAlignment="1" applyFont="1" applyNumberFormat="1">
      <alignment horizontal="right" readingOrder="0" vertical="center"/>
    </xf>
    <xf borderId="36" fillId="0" fontId="7" numFmtId="164" xfId="0" applyAlignment="1" applyBorder="1" applyFont="1" applyNumberFormat="1">
      <alignment horizontal="center" readingOrder="0" vertical="center"/>
    </xf>
    <xf borderId="8" fillId="0" fontId="8" numFmtId="10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right" readingOrder="0" vertical="center"/>
    </xf>
    <xf borderId="37" fillId="0" fontId="1" numFmtId="164" xfId="0" applyAlignment="1" applyBorder="1" applyFont="1" applyNumberFormat="1">
      <alignment horizontal="center" readingOrder="0" vertical="center"/>
    </xf>
    <xf borderId="5" fillId="0" fontId="7" numFmtId="10" xfId="0" applyAlignment="1" applyBorder="1" applyFont="1" applyNumberFormat="1">
      <alignment horizontal="center" vertical="center"/>
    </xf>
    <xf borderId="14" fillId="4" fontId="1" numFmtId="164" xfId="0" applyAlignment="1" applyBorder="1" applyFont="1" applyNumberFormat="1">
      <alignment horizontal="right" readingOrder="0" vertical="center"/>
    </xf>
    <xf borderId="5" fillId="4" fontId="7" numFmtId="166" xfId="0" applyAlignment="1" applyBorder="1" applyFont="1" applyNumberFormat="1">
      <alignment horizontal="center" vertical="center"/>
    </xf>
    <xf borderId="36" fillId="0" fontId="1" numFmtId="164" xfId="0" applyAlignment="1" applyBorder="1" applyFont="1" applyNumberFormat="1">
      <alignment horizontal="center" readingOrder="0" vertical="center"/>
    </xf>
    <xf borderId="38" fillId="4" fontId="1" numFmtId="164" xfId="0" applyAlignment="1" applyBorder="1" applyFont="1" applyNumberFormat="1">
      <alignment horizontal="right" readingOrder="0" vertical="center"/>
    </xf>
    <xf borderId="8" fillId="4" fontId="7" numFmtId="166" xfId="0" applyAlignment="1" applyBorder="1" applyFont="1" applyNumberFormat="1">
      <alignment horizontal="center" readingOrder="0" vertical="center"/>
    </xf>
    <xf borderId="39" fillId="6" fontId="12" numFmtId="166" xfId="0" applyAlignment="1" applyBorder="1" applyFill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8" numFmtId="10" xfId="0" applyAlignment="1" applyFont="1" applyNumberFormat="1">
      <alignment readingOrder="0" vertical="center"/>
    </xf>
    <xf borderId="8" fillId="7" fontId="7" numFmtId="164" xfId="0" applyAlignment="1" applyBorder="1" applyFill="1" applyFont="1" applyNumberFormat="1">
      <alignment horizontal="center" readingOrder="0" vertical="center"/>
    </xf>
    <xf borderId="9" fillId="7" fontId="1" numFmtId="164" xfId="0" applyAlignment="1" applyBorder="1" applyFont="1" applyNumberFormat="1">
      <alignment vertical="center"/>
    </xf>
    <xf borderId="0" fillId="7" fontId="1" numFmtId="164" xfId="0" applyAlignment="1" applyFont="1" applyNumberFormat="1">
      <alignment vertical="center"/>
    </xf>
    <xf borderId="40" fillId="0" fontId="1" numFmtId="164" xfId="0" applyAlignment="1" applyBorder="1" applyFont="1" applyNumberFormat="1">
      <alignment vertical="center"/>
    </xf>
    <xf borderId="23" fillId="0" fontId="1" numFmtId="164" xfId="0" applyAlignment="1" applyBorder="1" applyFont="1" applyNumberFormat="1">
      <alignment horizontal="right" readingOrder="0" vertical="center"/>
    </xf>
    <xf borderId="24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readingOrder="0" vertical="center"/>
    </xf>
    <xf borderId="13" fillId="0" fontId="1" numFmtId="164" xfId="0" applyAlignment="1" applyBorder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15" fillId="0" fontId="8" numFmtId="166" xfId="0" applyAlignment="1" applyBorder="1" applyFont="1" applyNumberFormat="1">
      <alignment horizontal="center" vertical="center"/>
    </xf>
    <xf borderId="0" fillId="3" fontId="8" numFmtId="166" xfId="0" applyAlignment="1" applyFont="1" applyNumberFormat="1">
      <alignment horizontal="center" vertical="center"/>
    </xf>
    <xf borderId="3" fillId="8" fontId="1" numFmtId="164" xfId="0" applyAlignment="1" applyBorder="1" applyFill="1" applyFont="1" applyNumberFormat="1">
      <alignment vertical="center"/>
    </xf>
    <xf borderId="0" fillId="8" fontId="1" numFmtId="164" xfId="0" applyAlignment="1" applyFont="1" applyNumberFormat="1">
      <alignment vertical="center"/>
    </xf>
    <xf borderId="15" fillId="8" fontId="1" numFmtId="164" xfId="0" applyAlignment="1" applyBorder="1" applyFont="1" applyNumberFormat="1">
      <alignment vertical="center"/>
    </xf>
    <xf borderId="0" fillId="3" fontId="13" numFmtId="164" xfId="0" applyAlignment="1" applyFont="1" applyNumberFormat="1">
      <alignment horizontal="center" readingOrder="0" vertical="center"/>
    </xf>
    <xf borderId="0" fillId="3" fontId="14" numFmtId="16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/>
    </xf>
    <xf borderId="0" fillId="3" fontId="1" numFmtId="165" xfId="0" applyAlignment="1" applyFont="1" applyNumberFormat="1">
      <alignment horizontal="center" vertical="center"/>
    </xf>
    <xf borderId="41" fillId="0" fontId="3" numFmtId="0" xfId="0" applyBorder="1" applyFont="1"/>
    <xf borderId="41" fillId="2" fontId="15" numFmtId="49" xfId="0" applyAlignment="1" applyBorder="1" applyFont="1" applyNumberFormat="1">
      <alignment horizontal="center" readingOrder="0" vertical="center"/>
    </xf>
    <xf borderId="0" fillId="3" fontId="7" numFmtId="164" xfId="0" applyAlignment="1" applyFont="1" applyNumberFormat="1">
      <alignment horizontal="right" readingOrder="0" vertical="center"/>
    </xf>
    <xf borderId="0" fillId="3" fontId="16" numFmtId="165" xfId="0" applyAlignment="1" applyFont="1" applyNumberFormat="1">
      <alignment horizontal="right" readingOrder="0" vertical="center"/>
    </xf>
    <xf borderId="0" fillId="3" fontId="17" numFmtId="165" xfId="0" applyAlignment="1" applyFont="1" applyNumberFormat="1">
      <alignment horizontal="right" readingOrder="0" shrinkToFit="0" vertical="center" wrapText="0"/>
    </xf>
    <xf borderId="42" fillId="3" fontId="18" numFmtId="165" xfId="0" applyAlignment="1" applyBorder="1" applyFont="1" applyNumberFormat="1">
      <alignment horizontal="center" readingOrder="0" vertical="center"/>
    </xf>
    <xf borderId="42" fillId="3" fontId="19" numFmtId="165" xfId="0" applyAlignment="1" applyBorder="1" applyFont="1" applyNumberFormat="1">
      <alignment horizontal="center" readingOrder="0" vertical="center"/>
    </xf>
    <xf borderId="0" fillId="3" fontId="19" numFmtId="165" xfId="0" applyAlignment="1" applyFont="1" applyNumberFormat="1">
      <alignment horizontal="center" readingOrder="0" vertical="center"/>
    </xf>
    <xf borderId="42" fillId="3" fontId="18" numFmtId="164" xfId="0" applyAlignment="1" applyBorder="1" applyFont="1" applyNumberFormat="1">
      <alignment horizontal="center" readingOrder="0" vertical="center"/>
    </xf>
    <xf borderId="42" fillId="3" fontId="19" numFmtId="164" xfId="0" applyAlignment="1" applyBorder="1" applyFont="1" applyNumberFormat="1">
      <alignment horizontal="center" readingOrder="0" vertical="center"/>
    </xf>
    <xf borderId="0" fillId="0" fontId="19" numFmtId="164" xfId="0" applyAlignment="1" applyFont="1" applyNumberFormat="1">
      <alignment horizontal="center" readingOrder="0"/>
    </xf>
    <xf borderId="42" fillId="3" fontId="18" numFmtId="3" xfId="0" applyAlignment="1" applyBorder="1" applyFont="1" applyNumberFormat="1">
      <alignment horizontal="center" vertical="center"/>
    </xf>
    <xf borderId="42" fillId="3" fontId="20" numFmtId="3" xfId="0" applyAlignment="1" applyBorder="1" applyFont="1" applyNumberFormat="1">
      <alignment horizontal="center" readingOrder="0" vertical="center"/>
    </xf>
    <xf borderId="0" fillId="3" fontId="20" numFmtId="3" xfId="0" applyAlignment="1" applyFont="1" applyNumberFormat="1">
      <alignment horizontal="center" readingOrder="0" vertical="center"/>
    </xf>
    <xf borderId="0" fillId="3" fontId="21" numFmtId="164" xfId="0" applyAlignment="1" applyFont="1" applyNumberFormat="1">
      <alignment readingOrder="0" vertical="center"/>
    </xf>
    <xf borderId="0" fillId="9" fontId="7" numFmtId="164" xfId="0" applyAlignment="1" applyFill="1" applyFont="1" applyNumberFormat="1">
      <alignment horizontal="center" readingOrder="0" vertical="center"/>
    </xf>
    <xf borderId="0" fillId="9" fontId="22" numFmtId="164" xfId="0" applyAlignment="1" applyFont="1" applyNumberFormat="1">
      <alignment horizontal="center" readingOrder="0" vertical="center"/>
    </xf>
    <xf borderId="42" fillId="9" fontId="23" numFmtId="164" xfId="0" applyAlignment="1" applyBorder="1" applyFont="1" applyNumberFormat="1">
      <alignment horizontal="center" readingOrder="0" vertical="center"/>
    </xf>
    <xf borderId="42" fillId="9" fontId="24" numFmtId="164" xfId="0" applyAlignment="1" applyBorder="1" applyFont="1" applyNumberFormat="1">
      <alignment horizontal="center" readingOrder="0" vertical="center"/>
    </xf>
    <xf borderId="0" fillId="9" fontId="24" numFmtId="164" xfId="0" applyAlignment="1" applyFont="1" applyNumberFormat="1">
      <alignment horizontal="center" readingOrder="0" vertical="center"/>
    </xf>
    <xf borderId="0" fillId="3" fontId="21" numFmtId="164" xfId="0" applyAlignment="1" applyFont="1" applyNumberFormat="1">
      <alignment horizontal="left" readingOrder="0" vertical="center"/>
    </xf>
    <xf borderId="0" fillId="3" fontId="25" numFmtId="165" xfId="0" applyAlignment="1" applyFont="1" applyNumberFormat="1">
      <alignment horizontal="right" readingOrder="0" shrinkToFit="0" vertical="center" wrapText="0"/>
    </xf>
    <xf borderId="42" fillId="3" fontId="23" numFmtId="167" xfId="0" applyAlignment="1" applyBorder="1" applyFont="1" applyNumberFormat="1">
      <alignment horizontal="center" vertical="center"/>
    </xf>
    <xf borderId="42" fillId="3" fontId="25" numFmtId="167" xfId="0" applyAlignment="1" applyBorder="1" applyFont="1" applyNumberFormat="1">
      <alignment horizontal="center" readingOrder="0" vertical="center"/>
    </xf>
    <xf borderId="0" fillId="3" fontId="25" numFmtId="167" xfId="0" applyAlignment="1" applyFont="1" applyNumberFormat="1">
      <alignment horizontal="center" readingOrder="0" vertical="center"/>
    </xf>
    <xf borderId="0" fillId="3" fontId="0" numFmtId="164" xfId="0" applyAlignment="1" applyFont="1" applyNumberFormat="1">
      <alignment horizontal="left" readingOrder="0" vertical="center"/>
    </xf>
    <xf borderId="0" fillId="3" fontId="8" numFmtId="164" xfId="0" applyAlignment="1" applyFont="1" applyNumberFormat="1">
      <alignment horizontal="right" readingOrder="0" vertical="center"/>
    </xf>
    <xf borderId="0" fillId="3" fontId="26" numFmtId="165" xfId="0" applyAlignment="1" applyFont="1" applyNumberFormat="1">
      <alignment horizontal="right" readingOrder="0" shrinkToFit="0" vertical="center" wrapText="0"/>
    </xf>
    <xf borderId="42" fillId="3" fontId="18" numFmtId="10" xfId="0" applyAlignment="1" applyBorder="1" applyFont="1" applyNumberFormat="1">
      <alignment horizontal="center" vertical="center"/>
    </xf>
    <xf borderId="42" fillId="3" fontId="19" numFmtId="10" xfId="0" applyAlignment="1" applyBorder="1" applyFont="1" applyNumberFormat="1">
      <alignment horizontal="center" readingOrder="0" vertical="center"/>
    </xf>
    <xf borderId="0" fillId="0" fontId="19" numFmtId="10" xfId="0" applyAlignment="1" applyFont="1" applyNumberFormat="1">
      <alignment horizontal="center" readingOrder="0"/>
    </xf>
    <xf borderId="42" fillId="3" fontId="18" numFmtId="10" xfId="0" applyAlignment="1" applyBorder="1" applyFont="1" applyNumberFormat="1">
      <alignment horizontal="center" readingOrder="0" vertical="center"/>
    </xf>
    <xf borderId="0" fillId="3" fontId="1" numFmtId="0" xfId="0" applyFont="1"/>
    <xf borderId="0" fillId="0" fontId="27" numFmtId="0" xfId="0" applyFont="1"/>
    <xf borderId="0" fillId="3" fontId="28" numFmtId="165" xfId="0" applyAlignment="1" applyFont="1" applyNumberFormat="1">
      <alignment horizontal="right" readingOrder="0" shrinkToFit="0" vertical="center" wrapText="0"/>
    </xf>
    <xf borderId="0" fillId="3" fontId="27" numFmtId="164" xfId="0" applyAlignment="1" applyFont="1" applyNumberFormat="1">
      <alignment vertical="center"/>
    </xf>
    <xf borderId="0" fillId="0" fontId="29" numFmtId="164" xfId="0" applyAlignment="1" applyFont="1" applyNumberFormat="1">
      <alignment horizontal="right" readingOrder="0" vertical="center"/>
    </xf>
    <xf borderId="15" fillId="0" fontId="1" numFmtId="164" xfId="0" applyAlignment="1" applyBorder="1" applyFont="1" applyNumberFormat="1">
      <alignment vertical="center"/>
    </xf>
    <xf borderId="0" fillId="3" fontId="0" numFmtId="164" xfId="0" applyAlignment="1" applyFont="1" applyNumberFormat="1">
      <alignment vertical="center"/>
    </xf>
    <xf borderId="26" fillId="10" fontId="13" numFmtId="164" xfId="0" applyAlignment="1" applyBorder="1" applyFill="1" applyFont="1" applyNumberFormat="1">
      <alignment horizontal="center" readingOrder="0" vertical="center"/>
    </xf>
    <xf borderId="27" fillId="0" fontId="3" numFmtId="0" xfId="0" applyBorder="1" applyFont="1"/>
    <xf borderId="28" fillId="0" fontId="3" numFmtId="0" xfId="0" applyBorder="1" applyFont="1"/>
    <xf borderId="15" fillId="0" fontId="3" numFmtId="0" xfId="0" applyBorder="1" applyFont="1"/>
    <xf borderId="3" fillId="9" fontId="8" numFmtId="164" xfId="0" applyAlignment="1" applyBorder="1" applyFont="1" applyNumberFormat="1">
      <alignment horizontal="center" readingOrder="0" vertical="center"/>
    </xf>
    <xf borderId="3" fillId="0" fontId="8" numFmtId="164" xfId="0" applyAlignment="1" applyBorder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15" fillId="0" fontId="7" numFmtId="164" xfId="0" applyAlignment="1" applyBorder="1" applyFont="1" applyNumberFormat="1">
      <alignment horizontal="center" readingOrder="0" vertical="center"/>
    </xf>
    <xf borderId="43" fillId="0" fontId="30" numFmtId="164" xfId="0" applyAlignment="1" applyBorder="1" applyFont="1" applyNumberFormat="1">
      <alignment horizontal="center" readingOrder="0" vertical="center"/>
    </xf>
    <xf borderId="44" fillId="0" fontId="3" numFmtId="0" xfId="0" applyBorder="1" applyFont="1"/>
    <xf borderId="3" fillId="11" fontId="7" numFmtId="164" xfId="0" applyAlignment="1" applyBorder="1" applyFill="1" applyFont="1" applyNumberFormat="1">
      <alignment horizontal="right" readingOrder="0" vertical="center"/>
    </xf>
    <xf borderId="0" fillId="11" fontId="31" numFmtId="164" xfId="0" applyAlignment="1" applyFont="1" applyNumberFormat="1">
      <alignment horizontal="right" readingOrder="0" vertical="center"/>
    </xf>
    <xf borderId="0" fillId="11" fontId="31" numFmtId="164" xfId="0" applyAlignment="1" applyFont="1" applyNumberFormat="1">
      <alignment vertical="center"/>
    </xf>
    <xf borderId="15" fillId="11" fontId="31" numFmtId="164" xfId="0" applyAlignment="1" applyBorder="1" applyFont="1" applyNumberFormat="1">
      <alignment vertical="center"/>
    </xf>
    <xf borderId="3" fillId="3" fontId="7" numFmtId="164" xfId="0" applyAlignment="1" applyBorder="1" applyFont="1" applyNumberFormat="1">
      <alignment horizontal="right" readingOrder="0" vertical="center"/>
    </xf>
    <xf borderId="45" fillId="3" fontId="31" numFmtId="165" xfId="0" applyAlignment="1" applyBorder="1" applyFont="1" applyNumberFormat="1">
      <alignment horizontal="right" readingOrder="0" vertical="center"/>
    </xf>
    <xf borderId="46" fillId="3" fontId="31" numFmtId="165" xfId="0" applyAlignment="1" applyBorder="1" applyFont="1" applyNumberFormat="1">
      <alignment horizontal="right" readingOrder="0" vertical="center"/>
    </xf>
    <xf borderId="47" fillId="3" fontId="31" numFmtId="168" xfId="0" applyAlignment="1" applyBorder="1" applyFont="1" applyNumberFormat="1">
      <alignment horizontal="right" readingOrder="0" vertical="center"/>
    </xf>
    <xf borderId="48" fillId="3" fontId="31" numFmtId="168" xfId="0" applyAlignment="1" applyBorder="1" applyFont="1" applyNumberFormat="1">
      <alignment horizontal="right" readingOrder="0" vertical="center"/>
    </xf>
    <xf borderId="0" fillId="3" fontId="31" numFmtId="166" xfId="0" applyAlignment="1" applyFont="1" applyNumberFormat="1">
      <alignment horizontal="right" readingOrder="0" vertical="center"/>
    </xf>
    <xf borderId="0" fillId="3" fontId="31" numFmtId="166" xfId="0" applyAlignment="1" applyFont="1" applyNumberFormat="1">
      <alignment vertical="center"/>
    </xf>
    <xf borderId="15" fillId="3" fontId="31" numFmtId="166" xfId="0" applyAlignment="1" applyBorder="1" applyFont="1" applyNumberFormat="1">
      <alignment vertical="center"/>
    </xf>
    <xf borderId="49" fillId="3" fontId="31" numFmtId="166" xfId="0" applyAlignment="1" applyBorder="1" applyFont="1" applyNumberFormat="1">
      <alignment horizontal="right" readingOrder="0" vertical="center"/>
    </xf>
    <xf borderId="49" fillId="3" fontId="31" numFmtId="166" xfId="0" applyAlignment="1" applyBorder="1" applyFont="1" applyNumberFormat="1">
      <alignment vertical="center"/>
    </xf>
    <xf borderId="50" fillId="3" fontId="31" numFmtId="166" xfId="0" applyAlignment="1" applyBorder="1" applyFont="1" applyNumberFormat="1">
      <alignment vertical="center"/>
    </xf>
    <xf borderId="3" fillId="11" fontId="1" numFmtId="164" xfId="0" applyAlignment="1" applyBorder="1" applyFont="1" applyNumberFormat="1">
      <alignment vertical="center"/>
    </xf>
    <xf borderId="0" fillId="11" fontId="1" numFmtId="164" xfId="0" applyAlignment="1" applyFont="1" applyNumberFormat="1">
      <alignment vertical="center"/>
    </xf>
    <xf borderId="15" fillId="11" fontId="1" numFmtId="164" xfId="0" applyAlignment="1" applyBorder="1" applyFont="1" applyNumberFormat="1">
      <alignment vertical="center"/>
    </xf>
    <xf borderId="3" fillId="12" fontId="7" numFmtId="164" xfId="0" applyAlignment="1" applyBorder="1" applyFill="1" applyFont="1" applyNumberFormat="1">
      <alignment horizontal="right" readingOrder="0" vertical="center"/>
    </xf>
    <xf borderId="51" fillId="12" fontId="32" numFmtId="164" xfId="0" applyAlignment="1" applyBorder="1" applyFont="1" applyNumberFormat="1">
      <alignment horizontal="right" vertical="center"/>
    </xf>
    <xf borderId="52" fillId="12" fontId="32" numFmtId="164" xfId="0" applyAlignment="1" applyBorder="1" applyFont="1" applyNumberFormat="1">
      <alignment horizontal="right" vertical="center"/>
    </xf>
    <xf borderId="31" fillId="11" fontId="1" numFmtId="164" xfId="0" applyAlignment="1" applyBorder="1" applyFont="1" applyNumberFormat="1">
      <alignment vertical="center"/>
    </xf>
    <xf borderId="32" fillId="0" fontId="3" numFmtId="0" xfId="0" applyBorder="1" applyFont="1"/>
    <xf borderId="32" fillId="11" fontId="1" numFmtId="164" xfId="0" applyAlignment="1" applyBorder="1" applyFont="1" applyNumberFormat="1">
      <alignment vertical="center"/>
    </xf>
    <xf borderId="33" fillId="11" fontId="1" numFmtId="164" xfId="0" applyAlignment="1" applyBorder="1" applyFont="1" applyNumberFormat="1">
      <alignment vertical="center"/>
    </xf>
    <xf borderId="40" fillId="13" fontId="7" numFmtId="164" xfId="0" applyAlignment="1" applyBorder="1" applyFill="1" applyFont="1" applyNumberFormat="1">
      <alignment horizontal="center" readingOrder="0" vertical="center"/>
    </xf>
    <xf borderId="53" fillId="0" fontId="3" numFmtId="0" xfId="0" applyBorder="1" applyFont="1"/>
    <xf borderId="0" fillId="13" fontId="7" numFmtId="164" xfId="0" applyAlignment="1" applyFont="1" applyNumberFormat="1">
      <alignment horizontal="center" readingOrder="0" vertical="center"/>
    </xf>
    <xf borderId="54" fillId="14" fontId="7" numFmtId="164" xfId="0" applyAlignment="1" applyBorder="1" applyFill="1" applyFont="1" applyNumberFormat="1">
      <alignment horizontal="center" readingOrder="0" vertical="center"/>
    </xf>
    <xf borderId="55" fillId="14" fontId="7" numFmtId="164" xfId="0" applyAlignment="1" applyBorder="1" applyFont="1" applyNumberFormat="1">
      <alignment horizontal="center" readingOrder="0" vertical="center"/>
    </xf>
    <xf borderId="55" fillId="14" fontId="7" numFmtId="164" xfId="0" applyAlignment="1" applyBorder="1" applyFont="1" applyNumberFormat="1">
      <alignment horizontal="right" readingOrder="0" vertical="center"/>
    </xf>
    <xf borderId="56" fillId="14" fontId="7" numFmtId="164" xfId="0" applyAlignment="1" applyBorder="1" applyFont="1" applyNumberFormat="1">
      <alignment horizontal="center" readingOrder="0" vertical="center"/>
    </xf>
    <xf borderId="0" fillId="14" fontId="7" numFmtId="164" xfId="0" applyAlignment="1" applyFont="1" applyNumberFormat="1">
      <alignment horizontal="center" readingOrder="0" vertical="center"/>
    </xf>
    <xf borderId="0" fillId="3" fontId="7" numFmtId="169" xfId="0" applyAlignment="1" applyFont="1" applyNumberFormat="1">
      <alignment horizontal="center" readingOrder="0" vertical="center"/>
    </xf>
    <xf borderId="18" fillId="14" fontId="7" numFmtId="164" xfId="0" applyAlignment="1" applyBorder="1" applyFont="1" applyNumberFormat="1">
      <alignment horizontal="center" readingOrder="0" vertical="center"/>
    </xf>
    <xf borderId="0" fillId="14" fontId="1" numFmtId="10" xfId="0" applyAlignment="1" applyFont="1" applyNumberFormat="1">
      <alignment horizontal="center" vertical="center"/>
    </xf>
    <xf borderId="0" fillId="14" fontId="1" numFmtId="164" xfId="0" applyAlignment="1" applyFont="1" applyNumberFormat="1">
      <alignment vertical="center"/>
    </xf>
    <xf borderId="0" fillId="14" fontId="33" numFmtId="164" xfId="0" applyAlignment="1" applyFont="1" applyNumberFormat="1">
      <alignment vertical="center"/>
    </xf>
    <xf borderId="0" fillId="14" fontId="1" numFmtId="164" xfId="0" applyAlignment="1" applyFont="1" applyNumberFormat="1">
      <alignment horizontal="center" vertical="center"/>
    </xf>
    <xf borderId="15" fillId="14" fontId="1" numFmtId="165" xfId="0" applyAlignment="1" applyBorder="1" applyFont="1" applyNumberFormat="1">
      <alignment horizontal="center" vertical="center"/>
    </xf>
    <xf borderId="0" fillId="3" fontId="0" numFmtId="169" xfId="0" applyAlignment="1" applyFont="1" applyNumberFormat="1">
      <alignment horizontal="center" vertical="center"/>
    </xf>
    <xf borderId="0" fillId="3" fontId="0" numFmtId="169" xfId="0" applyAlignment="1" applyFont="1" applyNumberFormat="1">
      <alignment horizontal="center" readingOrder="0" vertical="center"/>
    </xf>
    <xf borderId="0" fillId="3" fontId="7" numFmtId="3" xfId="0" applyAlignment="1" applyFont="1" applyNumberFormat="1">
      <alignment horizontal="right" readingOrder="0" vertical="center"/>
    </xf>
    <xf borderId="0" fillId="3" fontId="1" numFmtId="170" xfId="0" applyAlignment="1" applyFont="1" applyNumberFormat="1">
      <alignment horizontal="center" readingOrder="0" vertical="center"/>
    </xf>
    <xf borderId="57" fillId="14" fontId="7" numFmtId="164" xfId="0" applyAlignment="1" applyBorder="1" applyFont="1" applyNumberFormat="1">
      <alignment horizontal="center" readingOrder="0" vertical="center"/>
    </xf>
    <xf borderId="58" fillId="14" fontId="1" numFmtId="10" xfId="0" applyAlignment="1" applyBorder="1" applyFont="1" applyNumberFormat="1">
      <alignment horizontal="center" readingOrder="0" vertical="center"/>
    </xf>
    <xf borderId="58" fillId="14" fontId="1" numFmtId="164" xfId="0" applyAlignment="1" applyBorder="1" applyFont="1" applyNumberFormat="1">
      <alignment vertical="center"/>
    </xf>
    <xf borderId="58" fillId="14" fontId="34" numFmtId="164" xfId="0" applyAlignment="1" applyBorder="1" applyFont="1" applyNumberFormat="1">
      <alignment vertical="center"/>
    </xf>
    <xf borderId="59" fillId="14" fontId="1" numFmtId="164" xfId="0" applyAlignment="1" applyBorder="1" applyFont="1" applyNumberFormat="1">
      <alignment horizontal="center" vertical="center"/>
    </xf>
    <xf borderId="60" fillId="14" fontId="1" numFmtId="165" xfId="0" applyAlignment="1" applyBorder="1" applyFont="1" applyNumberFormat="1">
      <alignment horizontal="center" vertical="center"/>
    </xf>
    <xf borderId="0" fillId="3" fontId="1" numFmtId="170" xfId="0" applyAlignment="1" applyFont="1" applyNumberFormat="1">
      <alignment horizontal="center" vertical="center"/>
    </xf>
    <xf borderId="61" fillId="0" fontId="21" numFmtId="164" xfId="0" applyAlignment="1" applyBorder="1" applyFont="1" applyNumberFormat="1">
      <alignment readingOrder="0" vertical="center"/>
    </xf>
    <xf borderId="61" fillId="0" fontId="3" numFmtId="0" xfId="0" applyBorder="1" applyFont="1"/>
    <xf borderId="62" fillId="0" fontId="3" numFmtId="0" xfId="0" applyBorder="1" applyFont="1"/>
    <xf borderId="0" fillId="0" fontId="21" numFmtId="164" xfId="0" applyAlignment="1" applyFont="1" applyNumberFormat="1">
      <alignment readingOrder="0" vertical="center"/>
    </xf>
    <xf borderId="0" fillId="3" fontId="9" numFmtId="3" xfId="0" applyAlignment="1" applyFont="1" applyNumberFormat="1">
      <alignment horizontal="right" readingOrder="0" vertical="center"/>
    </xf>
    <xf borderId="0" fillId="0" fontId="7" numFmtId="3" xfId="0" applyAlignment="1" applyFont="1" applyNumberFormat="1">
      <alignment horizontal="right" readingOrder="0"/>
    </xf>
    <xf borderId="0" fillId="3" fontId="8" numFmtId="170" xfId="0" applyAlignment="1" applyFont="1" applyNumberFormat="1">
      <alignment horizontal="center" vertical="center"/>
    </xf>
    <xf borderId="0" fillId="3" fontId="35" numFmtId="164" xfId="0" applyAlignment="1" applyFont="1" applyNumberFormat="1">
      <alignment horizontal="left" readingOrder="0" vertical="center"/>
    </xf>
    <xf borderId="61" fillId="3" fontId="35" numFmtId="164" xfId="0" applyAlignment="1" applyBorder="1" applyFont="1" applyNumberFormat="1">
      <alignment horizontal="left" readingOrder="0" vertical="center"/>
    </xf>
    <xf borderId="63" fillId="3" fontId="35" numFmtId="164" xfId="0" applyAlignment="1" applyBorder="1" applyFont="1" applyNumberFormat="1">
      <alignment horizontal="left" readingOrder="0" vertical="center"/>
    </xf>
    <xf borderId="63" fillId="0" fontId="3" numFmtId="0" xfId="0" applyBorder="1" applyFont="1"/>
    <xf borderId="64" fillId="0" fontId="3" numFmtId="0" xfId="0" applyBorder="1" applyFont="1"/>
    <xf borderId="0" fillId="3" fontId="36" numFmtId="164" xfId="0" applyAlignment="1" applyFont="1" applyNumberFormat="1">
      <alignment horizontal="left" readingOrder="0" vertical="center"/>
    </xf>
    <xf borderId="63" fillId="3" fontId="21" numFmtId="164" xfId="0" applyAlignment="1" applyBorder="1" applyFont="1" applyNumberFormat="1">
      <alignment horizontal="left" readingOrder="0" vertical="center"/>
    </xf>
    <xf borderId="64" fillId="3" fontId="35" numFmtId="164" xfId="0" applyAlignment="1" applyBorder="1" applyFont="1" applyNumberFormat="1">
      <alignment horizontal="left" readingOrder="0" vertical="center"/>
    </xf>
    <xf borderId="45" fillId="3" fontId="31" numFmtId="171" xfId="0" applyAlignment="1" applyBorder="1" applyFont="1" applyNumberFormat="1">
      <alignment horizontal="right" readingOrder="0" vertical="center"/>
    </xf>
    <xf borderId="46" fillId="3" fontId="31" numFmtId="171" xfId="0" applyAlignment="1" applyBorder="1" applyFont="1" applyNumberFormat="1">
      <alignment horizontal="right" readingOrder="0" vertical="center"/>
    </xf>
    <xf borderId="47" fillId="3" fontId="31" numFmtId="169" xfId="0" applyAlignment="1" applyBorder="1" applyFont="1" applyNumberFormat="1">
      <alignment vertical="center"/>
    </xf>
    <xf borderId="48" fillId="3" fontId="31" numFmtId="169" xfId="0" applyAlignment="1" applyBorder="1" applyFont="1" applyNumberFormat="1">
      <alignment vertical="center"/>
    </xf>
    <xf borderId="3" fillId="11" fontId="8" numFmtId="164" xfId="0" applyAlignment="1" applyBorder="1" applyFont="1" applyNumberFormat="1">
      <alignment horizontal="right" readingOrder="0" vertical="center"/>
    </xf>
    <xf borderId="0" fillId="11" fontId="31" numFmtId="169" xfId="0" applyAlignment="1" applyFont="1" applyNumberFormat="1">
      <alignment horizontal="right" readingOrder="0" vertical="center"/>
    </xf>
    <xf borderId="0" fillId="11" fontId="31" numFmtId="169" xfId="0" applyAlignment="1" applyFont="1" applyNumberFormat="1">
      <alignment vertical="center"/>
    </xf>
    <xf borderId="15" fillId="11" fontId="31" numFmtId="169" xfId="0" applyAlignment="1" applyBorder="1" applyFont="1" applyNumberFormat="1">
      <alignment vertical="center"/>
    </xf>
    <xf borderId="45" fillId="3" fontId="31" numFmtId="169" xfId="0" applyAlignment="1" applyBorder="1" applyFont="1" applyNumberFormat="1">
      <alignment vertical="center"/>
    </xf>
    <xf borderId="46" fillId="3" fontId="31" numFmtId="169" xfId="0" applyAlignment="1" applyBorder="1" applyFont="1" applyNumberFormat="1">
      <alignment vertical="center"/>
    </xf>
    <xf borderId="61" fillId="11" fontId="31" numFmtId="169" xfId="0" applyAlignment="1" applyBorder="1" applyFont="1" applyNumberFormat="1">
      <alignment horizontal="right" readingOrder="0" vertical="center"/>
    </xf>
    <xf borderId="61" fillId="11" fontId="31" numFmtId="169" xfId="0" applyAlignment="1" applyBorder="1" applyFont="1" applyNumberFormat="1">
      <alignment vertical="center"/>
    </xf>
    <xf borderId="62" fillId="11" fontId="31" numFmtId="169" xfId="0" applyAlignment="1" applyBorder="1" applyFont="1" applyNumberFormat="1">
      <alignment vertical="center"/>
    </xf>
    <xf borderId="3" fillId="3" fontId="37" numFmtId="164" xfId="0" applyAlignment="1" applyBorder="1" applyFont="1" applyNumberFormat="1">
      <alignment horizontal="right" readingOrder="0" vertical="center"/>
    </xf>
    <xf borderId="65" fillId="3" fontId="38" numFmtId="169" xfId="0" applyAlignment="1" applyBorder="1" applyFont="1" applyNumberFormat="1">
      <alignment vertical="center"/>
    </xf>
    <xf borderId="66" fillId="3" fontId="38" numFmtId="169" xfId="0" applyAlignment="1" applyBorder="1" applyFont="1" applyNumberFormat="1">
      <alignment vertical="center"/>
    </xf>
    <xf borderId="0" fillId="0" fontId="8" numFmtId="10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15" fillId="0" fontId="1" numFmtId="169" xfId="0" applyAlignment="1" applyBorder="1" applyFont="1" applyNumberFormat="1">
      <alignment vertical="center"/>
    </xf>
    <xf borderId="3" fillId="0" fontId="7" numFmtId="164" xfId="0" applyAlignment="1" applyBorder="1" applyFont="1" applyNumberFormat="1">
      <alignment horizontal="right" readingOrder="0" vertical="center"/>
    </xf>
    <xf borderId="67" fillId="0" fontId="32" numFmtId="169" xfId="0" applyAlignment="1" applyBorder="1" applyFont="1" applyNumberFormat="1">
      <alignment vertical="center"/>
    </xf>
    <xf borderId="67" fillId="0" fontId="32" numFmtId="169" xfId="0" applyAlignment="1" applyBorder="1" applyFont="1" applyNumberFormat="1">
      <alignment readingOrder="0" vertical="center"/>
    </xf>
    <xf borderId="68" fillId="0" fontId="32" numFmtId="169" xfId="0" applyAlignment="1" applyBorder="1" applyFont="1" applyNumberFormat="1">
      <alignment vertical="center"/>
    </xf>
    <xf borderId="3" fillId="0" fontId="8" numFmtId="164" xfId="0" applyAlignment="1" applyBorder="1" applyFont="1" applyNumberFormat="1">
      <alignment horizontal="right" readingOrder="0" vertical="center"/>
    </xf>
    <xf borderId="2" fillId="0" fontId="39" numFmtId="169" xfId="0" applyAlignment="1" applyBorder="1" applyFont="1" applyNumberFormat="1">
      <alignment vertical="center"/>
    </xf>
    <xf borderId="69" fillId="0" fontId="3" numFmtId="0" xfId="0" applyBorder="1" applyFont="1"/>
    <xf borderId="31" fillId="11" fontId="1" numFmtId="164" xfId="0" applyAlignment="1" applyBorder="1" applyFont="1" applyNumberFormat="1">
      <alignment horizontal="right" readingOrder="0" vertical="center"/>
    </xf>
    <xf borderId="14" fillId="14" fontId="1" numFmtId="164" xfId="0" applyAlignment="1" applyBorder="1" applyFont="1" applyNumberFormat="1">
      <alignment horizontal="center" readingOrder="0" vertical="center"/>
    </xf>
    <xf borderId="70" fillId="14" fontId="7" numFmtId="164" xfId="0" applyAlignment="1" applyBorder="1" applyFont="1" applyNumberFormat="1">
      <alignment horizontal="center" readingOrder="0" vertical="center"/>
    </xf>
    <xf borderId="70" fillId="14" fontId="7" numFmtId="164" xfId="0" applyAlignment="1" applyBorder="1" applyFont="1" applyNumberFormat="1">
      <alignment readingOrder="0" vertical="center"/>
    </xf>
    <xf borderId="71" fillId="14" fontId="7" numFmtId="164" xfId="0" applyAlignment="1" applyBorder="1" applyFont="1" applyNumberFormat="1">
      <alignment readingOrder="0" vertical="center"/>
    </xf>
    <xf borderId="72" fillId="14" fontId="1" numFmtId="164" xfId="0" applyAlignment="1" applyBorder="1" applyFont="1" applyNumberFormat="1">
      <alignment horizontal="right" readingOrder="0" vertical="center"/>
    </xf>
    <xf borderId="0" fillId="14" fontId="1" numFmtId="164" xfId="0" applyAlignment="1" applyFont="1" applyNumberFormat="1">
      <alignment horizontal="center" readingOrder="0" vertical="center"/>
    </xf>
    <xf borderId="0" fillId="14" fontId="8" numFmtId="169" xfId="0" applyAlignment="1" applyFont="1" applyNumberFormat="1">
      <alignment horizontal="left" readingOrder="0" vertical="center"/>
    </xf>
    <xf borderId="15" fillId="14" fontId="8" numFmtId="169" xfId="0" applyAlignment="1" applyBorder="1" applyFont="1" applyNumberFormat="1">
      <alignment horizontal="left" readingOrder="0" vertical="center"/>
    </xf>
    <xf borderId="72" fillId="0" fontId="3" numFmtId="0" xfId="0" applyBorder="1" applyFont="1"/>
    <xf borderId="0" fillId="14" fontId="8" numFmtId="169" xfId="0" applyAlignment="1" applyFont="1" applyNumberFormat="1">
      <alignment horizontal="left" vertical="center"/>
    </xf>
    <xf borderId="23" fillId="14" fontId="7" numFmtId="164" xfId="0" applyAlignment="1" applyBorder="1" applyFont="1" applyNumberFormat="1">
      <alignment horizontal="center" readingOrder="0" vertical="center"/>
    </xf>
    <xf borderId="23" fillId="14" fontId="9" numFmtId="169" xfId="0" applyAlignment="1" applyBorder="1" applyFont="1" applyNumberFormat="1">
      <alignment horizontal="left" vertical="center"/>
    </xf>
    <xf borderId="53" fillId="14" fontId="9" numFmtId="169" xfId="0" applyAlignment="1" applyBorder="1" applyFont="1" applyNumberFormat="1">
      <alignment horizontal="left" vertical="center"/>
    </xf>
    <xf borderId="72" fillId="14" fontId="1" numFmtId="164" xfId="0" applyAlignment="1" applyBorder="1" applyFont="1" applyNumberFormat="1">
      <alignment horizontal="right" readingOrder="0" shrinkToFit="0" vertical="center" wrapText="1"/>
    </xf>
    <xf borderId="0" fillId="14" fontId="1" numFmtId="10" xfId="0" applyAlignment="1" applyFont="1" applyNumberFormat="1">
      <alignment vertical="center"/>
    </xf>
    <xf borderId="15" fillId="14" fontId="1" numFmtId="10" xfId="0" applyAlignment="1" applyBorder="1" applyFont="1" applyNumberFormat="1">
      <alignment vertical="center"/>
    </xf>
    <xf borderId="8" fillId="14" fontId="1" numFmtId="164" xfId="0" applyAlignment="1" applyBorder="1" applyFont="1" applyNumberFormat="1">
      <alignment horizontal="center" readingOrder="0" vertical="center"/>
    </xf>
    <xf borderId="8" fillId="14" fontId="1" numFmtId="10" xfId="0" applyAlignment="1" applyBorder="1" applyFont="1" applyNumberFormat="1">
      <alignment vertical="center"/>
    </xf>
    <xf borderId="9" fillId="14" fontId="1" numFmtId="10" xfId="0" applyAlignment="1" applyBorder="1" applyFont="1" applyNumberFormat="1">
      <alignment vertical="center"/>
    </xf>
    <xf borderId="72" fillId="14" fontId="40" numFmtId="164" xfId="0" applyAlignment="1" applyBorder="1" applyFont="1" applyNumberFormat="1">
      <alignment horizontal="right" readingOrder="0" shrinkToFit="0" vertical="center" wrapText="1"/>
    </xf>
    <xf borderId="0" fillId="14" fontId="40" numFmtId="164" xfId="0" applyAlignment="1" applyFont="1" applyNumberFormat="1">
      <alignment horizontal="center" readingOrder="0" vertical="center"/>
    </xf>
    <xf borderId="0" fillId="14" fontId="34" numFmtId="10" xfId="0" applyAlignment="1" applyFont="1" applyNumberFormat="1">
      <alignment horizontal="center" vertical="center"/>
    </xf>
    <xf borderId="0" fillId="14" fontId="41" numFmtId="164" xfId="0" applyAlignment="1" applyFont="1" applyNumberFormat="1">
      <alignment horizontal="center" readingOrder="0" shrinkToFit="0" vertical="center" wrapText="1"/>
    </xf>
    <xf borderId="73" fillId="0" fontId="3" numFmtId="0" xfId="0" applyBorder="1" applyFont="1"/>
    <xf borderId="8" fillId="14" fontId="40" numFmtId="164" xfId="0" applyAlignment="1" applyBorder="1" applyFont="1" applyNumberFormat="1">
      <alignment horizontal="center" readingOrder="0" vertical="center"/>
    </xf>
    <xf borderId="8" fillId="14" fontId="34" numFmtId="10" xfId="0" applyAlignment="1" applyBorder="1" applyFont="1" applyNumberFormat="1">
      <alignment horizontal="center" vertical="center"/>
    </xf>
    <xf borderId="74" fillId="13" fontId="7" numFmtId="164" xfId="0" applyAlignment="1" applyBorder="1" applyFont="1" applyNumberFormat="1">
      <alignment horizontal="right" readingOrder="0" shrinkToFit="0" vertical="center" wrapText="1"/>
    </xf>
    <xf borderId="70" fillId="14" fontId="1" numFmtId="164" xfId="0" applyAlignment="1" applyBorder="1" applyFont="1" applyNumberFormat="1">
      <alignment horizontal="center" readingOrder="0" vertical="center"/>
    </xf>
    <xf borderId="75" fillId="14" fontId="1" numFmtId="164" xfId="0" applyAlignment="1" applyBorder="1" applyFont="1" applyNumberFormat="1">
      <alignment horizontal="center" readingOrder="0" vertical="center"/>
    </xf>
    <xf borderId="76" fillId="0" fontId="3" numFmtId="0" xfId="0" applyBorder="1" applyFont="1"/>
    <xf borderId="0" fillId="14" fontId="7" numFmtId="169" xfId="0" applyAlignment="1" applyFont="1" applyNumberFormat="1">
      <alignment horizontal="center" vertical="center"/>
    </xf>
    <xf borderId="17" fillId="14" fontId="7" numFmtId="169" xfId="0" applyAlignment="1" applyBorder="1" applyFont="1" applyNumberFormat="1">
      <alignment horizontal="center" vertical="center"/>
    </xf>
    <xf borderId="77" fillId="0" fontId="3" numFmtId="0" xfId="0" applyBorder="1" applyFont="1"/>
    <xf borderId="78" fillId="14" fontId="7" numFmtId="169" xfId="0" applyAlignment="1" applyBorder="1" applyFont="1" applyNumberFormat="1">
      <alignment horizontal="center" vertical="center"/>
    </xf>
    <xf borderId="79" fillId="14" fontId="7" numFmtId="169" xfId="0" applyAlignment="1" applyBorder="1" applyFont="1" applyNumberFormat="1">
      <alignment horizontal="center" vertical="center"/>
    </xf>
    <xf borderId="80" fillId="14" fontId="7" numFmtId="164" xfId="0" applyAlignment="1" applyBorder="1" applyFont="1" applyNumberFormat="1">
      <alignment horizontal="center" readingOrder="0" vertical="center"/>
    </xf>
    <xf borderId="78" fillId="0" fontId="3" numFmtId="0" xfId="0" applyBorder="1" applyFont="1"/>
    <xf borderId="81" fillId="0" fontId="3" numFmtId="0" xfId="0" applyBorder="1" applyFont="1"/>
    <xf borderId="61" fillId="3" fontId="42" numFmtId="164" xfId="0" applyAlignment="1" applyBorder="1" applyFont="1" applyNumberFormat="1">
      <alignment readingOrder="0" vertical="center"/>
    </xf>
    <xf borderId="61" fillId="0" fontId="21" numFmtId="164" xfId="0" applyAlignment="1" applyBorder="1" applyFont="1" applyNumberFormat="1">
      <alignment horizontal="left" readingOrder="0" vertical="center"/>
    </xf>
    <xf borderId="63" fillId="0" fontId="21" numFmtId="164" xfId="0" applyAlignment="1" applyBorder="1" applyFont="1" applyNumberFormat="1">
      <alignment horizontal="left" readingOrder="0" vertical="center"/>
    </xf>
    <xf borderId="63" fillId="0" fontId="21" numFmtId="164" xfId="0" applyAlignment="1" applyBorder="1" applyFont="1" applyNumberFormat="1">
      <alignment vertical="center"/>
    </xf>
    <xf borderId="63" fillId="0" fontId="43" numFmtId="164" xfId="0" applyAlignment="1" applyBorder="1" applyFont="1" applyNumberFormat="1">
      <alignment horizontal="left" readingOrder="0" vertical="center"/>
    </xf>
    <xf borderId="63" fillId="0" fontId="21" numFmtId="164" xfId="0" applyAlignment="1" applyBorder="1" applyFont="1" applyNumberFormat="1">
      <alignment readingOrder="0" vertical="center"/>
    </xf>
    <xf borderId="1" fillId="0" fontId="21" numFmtId="164" xfId="0" applyAlignment="1" applyBorder="1" applyFont="1" applyNumberFormat="1">
      <alignment horizontal="left" readingOrder="0" shrinkToFit="0" vertical="center" wrapText="1"/>
    </xf>
    <xf borderId="82" fillId="0" fontId="3" numFmtId="0" xfId="0" applyBorder="1" applyFont="1"/>
    <xf borderId="1" fillId="3" fontId="31" numFmtId="169" xfId="0" applyAlignment="1" applyBorder="1" applyFont="1" applyNumberFormat="1">
      <alignment vertical="center"/>
    </xf>
    <xf borderId="82" fillId="3" fontId="31" numFmtId="169" xfId="0" applyAlignment="1" applyBorder="1" applyFont="1" applyNumberFormat="1">
      <alignment vertical="center"/>
    </xf>
    <xf borderId="3" fillId="0" fontId="1" numFmtId="164" xfId="0" applyAlignment="1" applyBorder="1" applyFont="1" applyNumberFormat="1">
      <alignment horizontal="right" readingOrder="0" vertical="center"/>
    </xf>
    <xf borderId="15" fillId="0" fontId="8" numFmtId="10" xfId="0" applyAlignment="1" applyBorder="1" applyFont="1" applyNumberFormat="1">
      <alignment vertical="center"/>
    </xf>
    <xf borderId="1" fillId="11" fontId="31" numFmtId="164" xfId="0" applyAlignment="1" applyBorder="1" applyFont="1" applyNumberFormat="1">
      <alignment horizontal="right" readingOrder="0" vertical="center"/>
    </xf>
    <xf borderId="1" fillId="11" fontId="31" numFmtId="164" xfId="0" applyAlignment="1" applyBorder="1" applyFont="1" applyNumberFormat="1">
      <alignment vertical="center"/>
    </xf>
    <xf borderId="82" fillId="11" fontId="31" numFmtId="164" xfId="0" applyAlignment="1" applyBorder="1" applyFont="1" applyNumberFormat="1">
      <alignment vertical="center"/>
    </xf>
    <xf borderId="0" fillId="0" fontId="44" numFmtId="169" xfId="0" applyAlignment="1" applyFont="1" applyNumberFormat="1">
      <alignment readingOrder="0" vertical="center"/>
    </xf>
    <xf borderId="15" fillId="0" fontId="44" numFmtId="169" xfId="0" applyAlignment="1" applyBorder="1" applyFont="1" applyNumberFormat="1">
      <alignment readingOrder="0" vertical="center"/>
    </xf>
    <xf borderId="1" fillId="11" fontId="31" numFmtId="168" xfId="0" applyAlignment="1" applyBorder="1" applyFont="1" applyNumberFormat="1">
      <alignment horizontal="right" readingOrder="0" vertical="center"/>
    </xf>
    <xf borderId="1" fillId="11" fontId="31" numFmtId="168" xfId="0" applyAlignment="1" applyBorder="1" applyFont="1" applyNumberFormat="1">
      <alignment vertical="center"/>
    </xf>
    <xf borderId="82" fillId="11" fontId="31" numFmtId="168" xfId="0" applyAlignment="1" applyBorder="1" applyFont="1" applyNumberFormat="1">
      <alignment vertical="center"/>
    </xf>
    <xf borderId="1" fillId="0" fontId="44" numFmtId="169" xfId="0" applyAlignment="1" applyBorder="1" applyFont="1" applyNumberFormat="1">
      <alignment vertical="center"/>
    </xf>
    <xf borderId="82" fillId="0" fontId="44" numFmtId="169" xfId="0" applyAlignment="1" applyBorder="1" applyFont="1" applyNumberFormat="1">
      <alignment vertical="center"/>
    </xf>
    <xf borderId="3" fillId="3" fontId="8" numFmtId="164" xfId="0" applyAlignment="1" applyBorder="1" applyFont="1" applyNumberFormat="1">
      <alignment horizontal="right" readingOrder="0" vertical="center"/>
    </xf>
    <xf borderId="1" fillId="11" fontId="31" numFmtId="169" xfId="0" applyAlignment="1" applyBorder="1" applyFont="1" applyNumberFormat="1">
      <alignment horizontal="right" readingOrder="0" vertical="center"/>
    </xf>
    <xf borderId="1" fillId="11" fontId="31" numFmtId="169" xfId="0" applyAlignment="1" applyBorder="1" applyFont="1" applyNumberFormat="1">
      <alignment vertical="center"/>
    </xf>
    <xf borderId="82" fillId="11" fontId="31" numFmtId="169" xfId="0" applyAlignment="1" applyBorder="1" applyFont="1" applyNumberFormat="1">
      <alignment vertical="center"/>
    </xf>
    <xf borderId="1" fillId="0" fontId="1" numFmtId="169" xfId="0" applyAlignment="1" applyBorder="1" applyFont="1" applyNumberFormat="1">
      <alignment vertical="center"/>
    </xf>
    <xf borderId="82" fillId="0" fontId="1" numFmtId="169" xfId="0" applyAlignment="1" applyBorder="1" applyFont="1" applyNumberFormat="1">
      <alignment vertical="center"/>
    </xf>
    <xf borderId="61" fillId="3" fontId="31" numFmtId="169" xfId="0" applyAlignment="1" applyBorder="1" applyFont="1" applyNumberFormat="1">
      <alignment horizontal="right" readingOrder="0" vertical="center"/>
    </xf>
    <xf borderId="61" fillId="3" fontId="31" numFmtId="169" xfId="0" applyAlignment="1" applyBorder="1" applyFont="1" applyNumberFormat="1">
      <alignment vertical="center"/>
    </xf>
    <xf borderId="62" fillId="3" fontId="31" numFmtId="169" xfId="0" applyAlignment="1" applyBorder="1" applyFont="1" applyNumberFormat="1">
      <alignment vertical="center"/>
    </xf>
    <xf borderId="63" fillId="11" fontId="31" numFmtId="169" xfId="0" applyAlignment="1" applyBorder="1" applyFont="1" applyNumberFormat="1">
      <alignment horizontal="right" readingOrder="0" vertical="center"/>
    </xf>
    <xf borderId="63" fillId="11" fontId="31" numFmtId="169" xfId="0" applyAlignment="1" applyBorder="1" applyFont="1" applyNumberFormat="1">
      <alignment vertical="center"/>
    </xf>
    <xf borderId="64" fillId="11" fontId="31" numFmtId="169" xfId="0" applyAlignment="1" applyBorder="1" applyFont="1" applyNumberFormat="1">
      <alignment vertical="center"/>
    </xf>
    <xf borderId="61" fillId="0" fontId="8" numFmtId="164" xfId="0" applyAlignment="1" applyBorder="1" applyFont="1" applyNumberFormat="1">
      <alignment vertical="center"/>
    </xf>
    <xf borderId="62" fillId="0" fontId="8" numFmtId="164" xfId="0" applyAlignment="1" applyBorder="1" applyFont="1" applyNumberFormat="1">
      <alignment vertical="center"/>
    </xf>
    <xf borderId="83" fillId="0" fontId="45" numFmtId="164" xfId="0" applyAlignment="1" applyBorder="1" applyFont="1" applyNumberFormat="1">
      <alignment vertical="center"/>
    </xf>
    <xf borderId="84" fillId="0" fontId="45" numFmtId="164" xfId="0" applyAlignment="1" applyBorder="1" applyFont="1" applyNumberFormat="1">
      <alignment vertical="center"/>
    </xf>
    <xf borderId="3" fillId="11" fontId="1" numFmtId="164" xfId="0" applyAlignment="1" applyBorder="1" applyFont="1" applyNumberFormat="1">
      <alignment horizontal="right" readingOrder="0" vertical="center"/>
    </xf>
    <xf borderId="1" fillId="0" fontId="8" numFmtId="10" xfId="0" applyAlignment="1" applyBorder="1" applyFont="1" applyNumberFormat="1">
      <alignment readingOrder="0" vertical="center"/>
    </xf>
    <xf borderId="1" fillId="0" fontId="8" numFmtId="164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vertical="center"/>
    </xf>
    <xf borderId="82" fillId="0" fontId="1" numFmtId="164" xfId="0" applyAlignment="1" applyBorder="1" applyFont="1" applyNumberFormat="1">
      <alignment vertical="center"/>
    </xf>
    <xf borderId="67" fillId="0" fontId="32" numFmtId="164" xfId="0" applyAlignment="1" applyBorder="1" applyFont="1" applyNumberFormat="1">
      <alignment vertical="center"/>
    </xf>
    <xf borderId="67" fillId="0" fontId="32" numFmtId="164" xfId="0" applyAlignment="1" applyBorder="1" applyFont="1" applyNumberFormat="1">
      <alignment readingOrder="0" vertical="center"/>
    </xf>
    <xf borderId="68" fillId="0" fontId="32" numFmtId="164" xfId="0" applyAlignment="1" applyBorder="1" applyFont="1" applyNumberFormat="1">
      <alignment vertical="center"/>
    </xf>
    <xf borderId="33" fillId="0" fontId="3" numFmtId="0" xfId="0" applyBorder="1" applyFont="1"/>
    <xf borderId="14" fillId="14" fontId="0" numFmtId="164" xfId="0" applyAlignment="1" applyBorder="1" applyFont="1" applyNumberFormat="1">
      <alignment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4" fillId="14" fontId="0" numFmtId="49" xfId="0" applyAlignment="1" applyBorder="1" applyFont="1" applyNumberFormat="1">
      <alignment horizontal="center" readingOrder="0" vertical="center"/>
    </xf>
    <xf borderId="18" fillId="14" fontId="0" numFmtId="10" xfId="0" applyAlignment="1" applyBorder="1" applyFont="1" applyNumberFormat="1">
      <alignment horizontal="center" readingOrder="0" vertical="center"/>
    </xf>
    <xf borderId="0" fillId="14" fontId="0" numFmtId="10" xfId="0" applyAlignment="1" applyFont="1" applyNumberFormat="1">
      <alignment horizontal="center" readingOrder="0" vertical="center"/>
    </xf>
    <xf borderId="8" fillId="14" fontId="0" numFmtId="10" xfId="0" applyAlignment="1" applyBorder="1" applyFont="1" applyNumberFormat="1">
      <alignment horizontal="center" readingOrder="0" vertical="center"/>
    </xf>
    <xf borderId="9" fillId="14" fontId="0" numFmtId="10" xfId="0" applyAlignment="1" applyBorder="1" applyFont="1" applyNumberFormat="1">
      <alignment horizontal="center" readingOrder="0" vertical="center"/>
    </xf>
    <xf borderId="85" fillId="13" fontId="46" numFmtId="164" xfId="0" applyAlignment="1" applyBorder="1" applyFont="1" applyNumberFormat="1">
      <alignment horizontal="left" readingOrder="0" vertical="center"/>
    </xf>
    <xf borderId="86" fillId="0" fontId="3" numFmtId="0" xfId="0" applyBorder="1" applyFont="1"/>
    <xf borderId="87" fillId="13" fontId="47" numFmtId="10" xfId="0" applyAlignment="1" applyBorder="1" applyFont="1" applyNumberFormat="1">
      <alignment horizontal="left" readingOrder="0" vertical="center"/>
    </xf>
    <xf borderId="0" fillId="0" fontId="0" numFmtId="164" xfId="0" applyAlignment="1" applyFont="1" applyNumberFormat="1">
      <alignment horizontal="left" readingOrder="0" vertical="center"/>
    </xf>
    <xf borderId="15" fillId="0" fontId="0" numFmtId="164" xfId="0" applyAlignment="1" applyBorder="1" applyFont="1" applyNumberFormat="1">
      <alignment horizontal="left" readingOrder="0" vertical="center"/>
    </xf>
    <xf borderId="0" fillId="12" fontId="31" numFmtId="164" xfId="0" applyAlignment="1" applyFont="1" applyNumberFormat="1">
      <alignment readingOrder="0" vertical="center"/>
    </xf>
    <xf borderId="18" fillId="14" fontId="1" numFmtId="164" xfId="0" applyAlignment="1" applyBorder="1" applyFont="1" applyNumberFormat="1">
      <alignment vertical="center"/>
    </xf>
    <xf borderId="0" fillId="14" fontId="30" numFmtId="164" xfId="0" applyAlignment="1" applyFont="1" applyNumberFormat="1">
      <alignment horizontal="right" readingOrder="0" vertical="center"/>
    </xf>
    <xf borderId="17" fillId="14" fontId="30" numFmtId="10" xfId="0" applyAlignment="1" applyBorder="1" applyFont="1" applyNumberFormat="1">
      <alignment horizontal="left" readingOrder="0" vertical="center"/>
    </xf>
    <xf borderId="54" fillId="14" fontId="1" numFmtId="164" xfId="0" applyAlignment="1" applyBorder="1" applyFont="1" applyNumberFormat="1">
      <alignment horizontal="center" readingOrder="0" vertical="center"/>
    </xf>
    <xf borderId="55" fillId="14" fontId="1" numFmtId="164" xfId="0" applyAlignment="1" applyBorder="1" applyFont="1" applyNumberFormat="1">
      <alignment horizontal="center" readingOrder="0" vertical="center"/>
    </xf>
    <xf borderId="55" fillId="14" fontId="48" numFmtId="164" xfId="0" applyAlignment="1" applyBorder="1" applyFont="1" applyNumberFormat="1">
      <alignment horizontal="center" readingOrder="0" vertical="center"/>
    </xf>
    <xf borderId="88" fillId="14" fontId="48" numFmtId="164" xfId="0" applyAlignment="1" applyBorder="1" applyFont="1" applyNumberFormat="1">
      <alignment horizontal="center" readingOrder="0" vertical="center"/>
    </xf>
    <xf borderId="0" fillId="14" fontId="11" numFmtId="169" xfId="0" applyAlignment="1" applyFont="1" applyNumberFormat="1">
      <alignment horizontal="center" vertical="center"/>
    </xf>
    <xf borderId="0" fillId="14" fontId="1" numFmtId="169" xfId="0" applyAlignment="1" applyFont="1" applyNumberFormat="1">
      <alignment horizontal="right" vertical="center"/>
    </xf>
    <xf borderId="17" fillId="14" fontId="11" numFmtId="169" xfId="0" applyAlignment="1" applyBorder="1" applyFont="1" applyNumberFormat="1">
      <alignment horizontal="right" vertical="center"/>
    </xf>
    <xf borderId="58" fillId="14" fontId="23" numFmtId="169" xfId="0" applyAlignment="1" applyBorder="1" applyFont="1" applyNumberFormat="1">
      <alignment horizontal="center" vertical="center"/>
    </xf>
    <xf borderId="58" fillId="14" fontId="11" numFmtId="169" xfId="0" applyAlignment="1" applyBorder="1" applyFont="1" applyNumberFormat="1">
      <alignment horizontal="right" vertical="center"/>
    </xf>
    <xf borderId="89" fillId="14" fontId="23" numFmtId="169" xfId="0" applyAlignment="1" applyBorder="1" applyFont="1" applyNumberFormat="1">
      <alignment horizontal="right" vertical="center"/>
    </xf>
    <xf borderId="90" fillId="14" fontId="7" numFmtId="164" xfId="0" applyAlignment="1" applyBorder="1" applyFont="1" applyNumberFormat="1">
      <alignment horizontal="center" readingOrder="0" vertical="center"/>
    </xf>
    <xf borderId="91" fillId="0" fontId="3" numFmtId="0" xfId="0" applyBorder="1" applyFont="1"/>
    <xf borderId="5" fillId="0" fontId="1" numFmtId="164" xfId="0" applyAlignment="1" applyBorder="1" applyFont="1" applyNumberFormat="1">
      <alignment vertical="center"/>
    </xf>
    <xf borderId="92" fillId="13" fontId="7" numFmtId="164" xfId="0" applyAlignment="1" applyBorder="1" applyFont="1" applyNumberFormat="1">
      <alignment horizontal="center" readingOrder="0" vertical="center"/>
    </xf>
    <xf borderId="93" fillId="14" fontId="7" numFmtId="164" xfId="0" applyAlignment="1" applyBorder="1" applyFont="1" applyNumberFormat="1">
      <alignment horizontal="right" readingOrder="0" vertical="center"/>
    </xf>
    <xf borderId="42" fillId="14" fontId="1" numFmtId="164" xfId="0" applyAlignment="1" applyBorder="1" applyFont="1" applyNumberFormat="1">
      <alignment horizontal="left" readingOrder="0" vertical="center"/>
    </xf>
    <xf borderId="94" fillId="13" fontId="49" numFmtId="164" xfId="0" applyAlignment="1" applyBorder="1" applyFont="1" applyNumberFormat="1">
      <alignment horizontal="center" vertical="center"/>
    </xf>
    <xf borderId="17" fillId="13" fontId="49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shrinkToFit="0" vertical="center" wrapText="0"/>
    </xf>
    <xf borderId="18" fillId="14" fontId="7" numFmtId="164" xfId="0" applyAlignment="1" applyBorder="1" applyFont="1" applyNumberFormat="1">
      <alignment horizontal="right" readingOrder="0" vertical="center"/>
    </xf>
    <xf borderId="42" fillId="14" fontId="1" numFmtId="4" xfId="0" applyAlignment="1" applyBorder="1" applyFont="1" applyNumberFormat="1">
      <alignment horizontal="left" readingOrder="0" vertical="center"/>
    </xf>
    <xf borderId="94" fillId="0" fontId="3" numFmtId="0" xfId="0" applyBorder="1" applyFont="1"/>
    <xf borderId="0" fillId="0" fontId="1" numFmtId="0" xfId="0" applyAlignment="1" applyFont="1">
      <alignment horizontal="left" readingOrder="0"/>
    </xf>
    <xf borderId="0" fillId="0" fontId="1" numFmtId="168" xfId="0" applyAlignment="1" applyFont="1" applyNumberFormat="1">
      <alignment vertical="center"/>
    </xf>
    <xf borderId="15" fillId="0" fontId="1" numFmtId="168" xfId="0" applyAlignment="1" applyBorder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15" fillId="0" fontId="1" numFmtId="164" xfId="0" applyAlignment="1" applyBorder="1" applyFont="1" applyNumberFormat="1">
      <alignment readingOrder="0" vertical="center"/>
    </xf>
    <xf borderId="1" fillId="0" fontId="22" numFmtId="4" xfId="0" applyAlignment="1" applyBorder="1" applyFont="1" applyNumberFormat="1">
      <alignment horizontal="right" vertical="center"/>
    </xf>
    <xf borderId="82" fillId="0" fontId="22" numFmtId="4" xfId="0" applyAlignment="1" applyBorder="1" applyFont="1" applyNumberFormat="1">
      <alignment horizontal="right" vertical="center"/>
    </xf>
    <xf borderId="0" fillId="0" fontId="28" numFmtId="164" xfId="0" applyAlignment="1" applyFont="1" applyNumberFormat="1">
      <alignment vertical="center"/>
    </xf>
    <xf borderId="15" fillId="0" fontId="28" numFmtId="164" xfId="0" applyAlignment="1" applyBorder="1" applyFont="1" applyNumberFormat="1">
      <alignment vertical="center"/>
    </xf>
    <xf borderId="83" fillId="0" fontId="28" numFmtId="164" xfId="0" applyAlignment="1" applyBorder="1" applyFont="1" applyNumberFormat="1">
      <alignment vertical="center"/>
    </xf>
    <xf borderId="84" fillId="0" fontId="28" numFmtId="164" xfId="0" applyAlignment="1" applyBorder="1" applyFont="1" applyNumberFormat="1">
      <alignment vertical="center"/>
    </xf>
    <xf borderId="3" fillId="0" fontId="8" numFmtId="164" xfId="0" applyAlignment="1" applyBorder="1" applyFont="1" applyNumberFormat="1">
      <alignment readingOrder="0" vertical="center"/>
    </xf>
    <xf borderId="1" fillId="0" fontId="8" numFmtId="10" xfId="0" applyAlignment="1" applyBorder="1" applyFont="1" applyNumberFormat="1">
      <alignment vertical="center"/>
    </xf>
    <xf borderId="0" fillId="14" fontId="7" numFmtId="164" xfId="0" applyAlignment="1" applyFont="1" applyNumberFormat="1">
      <alignment horizontal="center" readingOrder="0" shrinkToFit="0" vertical="center" wrapText="1"/>
    </xf>
    <xf borderId="15" fillId="14" fontId="1" numFmtId="164" xfId="0" applyAlignment="1" applyBorder="1" applyFont="1" applyNumberFormat="1">
      <alignment vertical="center"/>
    </xf>
    <xf borderId="95" fillId="14" fontId="7" numFmtId="164" xfId="0" applyAlignment="1" applyBorder="1" applyFont="1" applyNumberFormat="1">
      <alignment horizontal="center" readingOrder="0" vertical="center"/>
    </xf>
    <xf borderId="2" fillId="14" fontId="7" numFmtId="164" xfId="0" applyAlignment="1" applyBorder="1" applyFont="1" applyNumberFormat="1">
      <alignment horizontal="center" readingOrder="0" vertical="center"/>
    </xf>
    <xf borderId="69" fillId="14" fontId="7" numFmtId="164" xfId="0" applyAlignment="1" applyBorder="1" applyFont="1" applyNumberFormat="1">
      <alignment horizontal="center" readingOrder="0" vertical="center"/>
    </xf>
    <xf borderId="18" fillId="14" fontId="0" numFmtId="49" xfId="0" applyAlignment="1" applyBorder="1" applyFont="1" applyNumberFormat="1">
      <alignment horizontal="center" readingOrder="0" vertical="center"/>
    </xf>
    <xf borderId="0" fillId="13" fontId="1" numFmtId="165" xfId="0" applyAlignment="1" applyFont="1" applyNumberFormat="1">
      <alignment vertical="center"/>
    </xf>
    <xf borderId="0" fillId="13" fontId="1" numFmtId="168" xfId="0" applyAlignment="1" applyFont="1" applyNumberFormat="1">
      <alignment vertical="center"/>
    </xf>
    <xf borderId="0" fillId="13" fontId="7" numFmtId="4" xfId="0" applyAlignment="1" applyFont="1" applyNumberFormat="1">
      <alignment horizontal="center" vertical="center"/>
    </xf>
    <xf borderId="0" fillId="13" fontId="7" numFmtId="168" xfId="0" applyAlignment="1" applyFont="1" applyNumberFormat="1">
      <alignment vertical="center"/>
    </xf>
    <xf borderId="0" fillId="14" fontId="1" numFmtId="165" xfId="0" applyAlignment="1" applyFont="1" applyNumberFormat="1">
      <alignment readingOrder="0" vertical="center"/>
    </xf>
    <xf borderId="0" fillId="14" fontId="1" numFmtId="168" xfId="0" applyAlignment="1" applyFont="1" applyNumberFormat="1">
      <alignment vertical="center"/>
    </xf>
    <xf borderId="0" fillId="14" fontId="1" numFmtId="4" xfId="0" applyAlignment="1" applyFont="1" applyNumberFormat="1">
      <alignment horizontal="center" readingOrder="0" vertical="center"/>
    </xf>
    <xf borderId="0" fillId="14" fontId="0" numFmtId="4" xfId="0" applyAlignment="1" applyFont="1" applyNumberFormat="1">
      <alignment horizontal="center" readingOrder="0" vertical="center"/>
    </xf>
    <xf borderId="0" fillId="14" fontId="0" numFmtId="165" xfId="0" applyAlignment="1" applyFont="1" applyNumberFormat="1">
      <alignment readingOrder="0" vertical="center"/>
    </xf>
    <xf borderId="15" fillId="14" fontId="0" numFmtId="164" xfId="0" applyAlignment="1" applyBorder="1" applyFont="1" applyNumberFormat="1">
      <alignment horizontal="left" readingOrder="0" vertical="center"/>
    </xf>
    <xf borderId="38" fillId="14" fontId="0" numFmtId="49" xfId="0" applyAlignment="1" applyBorder="1" applyFont="1" applyNumberFormat="1">
      <alignment horizontal="center" readingOrder="0" vertical="center"/>
    </xf>
    <xf borderId="8" fillId="14" fontId="0" numFmtId="165" xfId="0" applyAlignment="1" applyBorder="1" applyFont="1" applyNumberFormat="1">
      <alignment readingOrder="0" vertical="center"/>
    </xf>
    <xf borderId="8" fillId="14" fontId="1" numFmtId="168" xfId="0" applyAlignment="1" applyBorder="1" applyFont="1" applyNumberFormat="1">
      <alignment vertical="center"/>
    </xf>
    <xf borderId="8" fillId="14" fontId="0" numFmtId="4" xfId="0" applyAlignment="1" applyBorder="1" applyFont="1" applyNumberFormat="1">
      <alignment horizontal="center" readingOrder="0" vertical="center"/>
    </xf>
    <xf borderId="9" fillId="14" fontId="0" numFmtId="164" xfId="0" applyAlignment="1" applyBorder="1" applyFont="1" applyNumberFormat="1">
      <alignment horizontal="left" readingOrder="0" vertical="center"/>
    </xf>
    <xf borderId="38" fillId="14" fontId="50" numFmtId="164" xfId="0" applyAlignment="1" applyBorder="1" applyFont="1" applyNumberFormat="1">
      <alignment horizontal="center" readingOrder="0" vertical="center"/>
    </xf>
    <xf borderId="23" fillId="14" fontId="50" numFmtId="165" xfId="0" applyAlignment="1" applyBorder="1" applyFont="1" applyNumberFormat="1">
      <alignment horizontal="right" vertical="center"/>
    </xf>
    <xf borderId="23" fillId="14" fontId="51" numFmtId="168" xfId="0" applyAlignment="1" applyBorder="1" applyFont="1" applyNumberFormat="1">
      <alignment horizontal="right" vertical="center"/>
    </xf>
    <xf borderId="23" fillId="14" fontId="51" numFmtId="4" xfId="0" applyAlignment="1" applyBorder="1" applyFont="1" applyNumberFormat="1">
      <alignment horizontal="center" vertical="center"/>
    </xf>
    <xf borderId="24" fillId="14" fontId="9" numFmtId="168" xfId="0" applyAlignment="1" applyBorder="1" applyFont="1" applyNumberFormat="1">
      <alignment vertical="center"/>
    </xf>
    <xf borderId="14" fillId="14" fontId="52" numFmtId="164" xfId="0" applyAlignment="1" applyBorder="1" applyFont="1" applyNumberFormat="1">
      <alignment horizontal="right" readingOrder="0" vertical="center"/>
    </xf>
    <xf borderId="96" fillId="0" fontId="3" numFmtId="0" xfId="0" applyBorder="1" applyFont="1"/>
    <xf borderId="97" fillId="14" fontId="52" numFmtId="164" xfId="0" applyAlignment="1" applyBorder="1" applyFont="1" applyNumberFormat="1">
      <alignment horizontal="left" readingOrder="0" vertical="center"/>
    </xf>
    <xf borderId="0" fillId="0" fontId="53" numFmtId="164" xfId="0" applyAlignment="1" applyFont="1" applyNumberFormat="1">
      <alignment readingOrder="0" vertical="center"/>
    </xf>
    <xf borderId="18" fillId="14" fontId="1" numFmtId="164" xfId="0" applyAlignment="1" applyBorder="1" applyFont="1" applyNumberFormat="1">
      <alignment horizontal="right" readingOrder="0" vertical="center"/>
    </xf>
    <xf borderId="42" fillId="0" fontId="3" numFmtId="0" xfId="0" applyBorder="1" applyFont="1"/>
    <xf borderId="94" fillId="14" fontId="1" numFmtId="4" xfId="0" applyAlignment="1" applyBorder="1" applyFont="1" applyNumberFormat="1">
      <alignment horizontal="left" readingOrder="0" vertical="center"/>
    </xf>
    <xf borderId="0" fillId="0" fontId="52" numFmtId="164" xfId="0" applyAlignment="1" applyFont="1" applyNumberFormat="1">
      <alignment vertical="center"/>
    </xf>
    <xf borderId="94" fillId="14" fontId="1" numFmtId="164" xfId="0" applyAlignment="1" applyBorder="1" applyFont="1" applyNumberFormat="1">
      <alignment horizontal="left" vertical="center"/>
    </xf>
    <xf borderId="38" fillId="14" fontId="1" numFmtId="164" xfId="0" applyAlignment="1" applyBorder="1" applyFont="1" applyNumberFormat="1">
      <alignment horizontal="right" readingOrder="0" vertical="center"/>
    </xf>
    <xf borderId="98" fillId="0" fontId="3" numFmtId="0" xfId="0" applyBorder="1" applyFont="1"/>
    <xf borderId="99" fillId="14" fontId="1" numFmtId="164" xfId="0" applyAlignment="1" applyBorder="1" applyFont="1" applyNumberFormat="1">
      <alignment horizontal="left" vertical="center"/>
    </xf>
    <xf borderId="0" fillId="0" fontId="54" numFmtId="164" xfId="0" applyAlignment="1" applyFont="1" applyNumberFormat="1">
      <alignment horizontal="right" readingOrder="0" vertical="center"/>
    </xf>
    <xf borderId="1" fillId="14" fontId="55" numFmtId="164" xfId="0" applyAlignment="1" applyBorder="1" applyFont="1" applyNumberFormat="1">
      <alignment readingOrder="0" vertical="center"/>
    </xf>
    <xf borderId="1" fillId="14" fontId="56" numFmtId="10" xfId="0" applyAlignment="1" applyBorder="1" applyFont="1" applyNumberFormat="1">
      <alignment horizontal="left" readingOrder="0" vertical="center"/>
    </xf>
    <xf borderId="8" fillId="0" fontId="30" numFmtId="164" xfId="0" applyAlignment="1" applyBorder="1" applyFont="1" applyNumberFormat="1">
      <alignment horizontal="center" readingOrder="0" vertical="center"/>
    </xf>
    <xf borderId="40" fillId="14" fontId="7" numFmtId="164" xfId="0" applyAlignment="1" applyBorder="1" applyFont="1" applyNumberFormat="1">
      <alignment horizontal="center" readingOrder="0" vertical="center"/>
    </xf>
    <xf borderId="100" fillId="11" fontId="1" numFmtId="164" xfId="0" applyAlignment="1" applyBorder="1" applyFont="1" applyNumberFormat="1">
      <alignment horizontal="right" readingOrder="0" vertical="center"/>
    </xf>
    <xf borderId="88" fillId="14" fontId="1" numFmtId="164" xfId="0" applyAlignment="1" applyBorder="1" applyFont="1" applyNumberFormat="1">
      <alignment horizontal="right" readingOrder="0" vertical="center"/>
    </xf>
    <xf borderId="36" fillId="9" fontId="7" numFmtId="164" xfId="0" applyAlignment="1" applyBorder="1" applyFont="1" applyNumberFormat="1">
      <alignment horizontal="center" readingOrder="0" vertical="center"/>
    </xf>
    <xf borderId="17" fillId="14" fontId="34" numFmtId="10" xfId="0" applyAlignment="1" applyBorder="1" applyFont="1" applyNumberFormat="1">
      <alignment horizontal="center" vertical="center"/>
    </xf>
    <xf borderId="29" fillId="2" fontId="1" numFmtId="164" xfId="0" applyAlignment="1" applyBorder="1" applyFont="1" applyNumberFormat="1">
      <alignment horizontal="right" readingOrder="0" vertical="center"/>
    </xf>
    <xf borderId="40" fillId="2" fontId="34" numFmtId="10" xfId="0" applyAlignment="1" applyBorder="1" applyFont="1" applyNumberFormat="1">
      <alignment vertical="center"/>
    </xf>
    <xf borderId="24" fillId="2" fontId="34" numFmtId="10" xfId="0" applyAlignment="1" applyBorder="1" applyFont="1" applyNumberFormat="1">
      <alignment vertical="center"/>
    </xf>
    <xf borderId="38" fillId="14" fontId="7" numFmtId="164" xfId="0" applyAlignment="1" applyBorder="1" applyFont="1" applyNumberFormat="1">
      <alignment horizontal="center" readingOrder="0" vertical="center"/>
    </xf>
    <xf borderId="20" fillId="14" fontId="34" numFmtId="10" xfId="0" applyAlignment="1" applyBorder="1" applyFont="1" applyNumberFormat="1">
      <alignment horizontal="center" vertical="center"/>
    </xf>
    <xf borderId="63" fillId="14" fontId="55" numFmtId="164" xfId="0" applyAlignment="1" applyBorder="1" applyFont="1" applyNumberFormat="1">
      <alignment readingOrder="0" vertical="center"/>
    </xf>
    <xf borderId="0" fillId="14" fontId="57" numFmtId="10" xfId="0" applyAlignment="1" applyFont="1" applyNumberFormat="1">
      <alignment horizontal="left" readingOrder="0" vertical="center"/>
    </xf>
    <xf borderId="100" fillId="0" fontId="22" numFmtId="164" xfId="0" applyAlignment="1" applyBorder="1" applyFont="1" applyNumberFormat="1">
      <alignment horizontal="right" readingOrder="0" vertical="center"/>
    </xf>
    <xf borderId="2" fillId="0" fontId="22" numFmtId="164" xfId="0" applyAlignment="1" applyBorder="1" applyFont="1" applyNumberFormat="1">
      <alignment vertical="center"/>
    </xf>
    <xf borderId="69" fillId="0" fontId="22" numFmtId="164" xfId="0" applyAlignment="1" applyBorder="1" applyFont="1" applyNumberFormat="1">
      <alignment vertical="center"/>
    </xf>
    <xf borderId="0" fillId="0" fontId="8" numFmtId="164" xfId="0" applyAlignment="1" applyFont="1" applyNumberFormat="1">
      <alignment readingOrder="0" vertical="center"/>
    </xf>
    <xf borderId="3" fillId="0" fontId="22" numFmtId="164" xfId="0" applyAlignment="1" applyBorder="1" applyFont="1" applyNumberFormat="1">
      <alignment horizontal="right" readingOrder="0" vertical="center"/>
    </xf>
    <xf borderId="101" fillId="11" fontId="1" numFmtId="164" xfId="0" applyAlignment="1" applyBorder="1" applyFont="1" applyNumberFormat="1">
      <alignment horizontal="right" readingOrder="0" vertical="center"/>
    </xf>
    <xf borderId="3" fillId="0" fontId="32" numFmtId="164" xfId="0" applyAlignment="1" applyBorder="1" applyFont="1" applyNumberFormat="1">
      <alignment horizontal="right" readingOrder="0" shrinkToFit="0" vertical="center" wrapText="1"/>
    </xf>
    <xf borderId="100" fillId="0" fontId="3" numFmtId="0" xfId="0" applyBorder="1" applyFont="1"/>
    <xf borderId="26" fillId="10" fontId="13" numFmtId="164" xfId="0" applyAlignment="1" applyBorder="1" applyFont="1" applyNumberFormat="1">
      <alignment horizontal="center" readingOrder="0" shrinkToFit="0" vertical="center" wrapText="1"/>
    </xf>
    <xf borderId="0" fillId="3" fontId="23" numFmtId="164" xfId="0" applyAlignment="1" applyFont="1" applyNumberFormat="1">
      <alignment horizontal="center" readingOrder="0" vertical="center"/>
    </xf>
    <xf borderId="15" fillId="3" fontId="23" numFmtId="164" xfId="0" applyAlignment="1" applyBorder="1" applyFont="1" applyNumberFormat="1">
      <alignment horizontal="center" readingOrder="0" vertical="center"/>
    </xf>
    <xf borderId="0" fillId="14" fontId="55" numFmtId="164" xfId="0" applyAlignment="1" applyFont="1" applyNumberFormat="1">
      <alignment readingOrder="0" vertical="center"/>
    </xf>
    <xf borderId="0" fillId="14" fontId="58" numFmtId="10" xfId="0" applyAlignment="1" applyFont="1" applyNumberFormat="1">
      <alignment horizontal="left" readingOrder="0" vertical="center"/>
    </xf>
    <xf borderId="8" fillId="3" fontId="59" numFmtId="164" xfId="0" applyAlignment="1" applyBorder="1" applyFont="1" applyNumberFormat="1">
      <alignment horizontal="center" readingOrder="0" vertical="center"/>
    </xf>
    <xf borderId="36" fillId="9" fontId="30" numFmtId="164" xfId="0" applyAlignment="1" applyBorder="1" applyFont="1" applyNumberFormat="1">
      <alignment horizontal="center" readingOrder="0" vertical="center"/>
    </xf>
    <xf borderId="100" fillId="0" fontId="1" numFmtId="164" xfId="0" applyAlignment="1" applyBorder="1" applyFont="1" applyNumberFormat="1">
      <alignment horizontal="right" readingOrder="0" vertical="center"/>
    </xf>
    <xf borderId="61" fillId="0" fontId="1" numFmtId="164" xfId="0" applyAlignment="1" applyBorder="1" applyFont="1" applyNumberFormat="1">
      <alignment vertical="center"/>
    </xf>
    <xf borderId="61" fillId="0" fontId="1" numFmtId="164" xfId="0" applyAlignment="1" applyBorder="1" applyFont="1" applyNumberFormat="1">
      <alignment readingOrder="0" vertical="center"/>
    </xf>
    <xf borderId="62" fillId="0" fontId="1" numFmtId="164" xfId="0" applyAlignment="1" applyBorder="1" applyFont="1" applyNumberFormat="1">
      <alignment readingOrder="0" vertical="center"/>
    </xf>
    <xf borderId="3" fillId="9" fontId="30" numFmtId="164" xfId="0" applyAlignment="1" applyBorder="1" applyFont="1" applyNumberFormat="1">
      <alignment horizontal="center" readingOrder="0" vertical="center"/>
    </xf>
    <xf borderId="102" fillId="0" fontId="1" numFmtId="164" xfId="0" applyAlignment="1" applyBorder="1" applyFont="1" applyNumberFormat="1">
      <alignment horizontal="right" readingOrder="0" vertical="center"/>
    </xf>
    <xf borderId="82" fillId="0" fontId="1" numFmtId="164" xfId="0" applyAlignment="1" applyBorder="1" applyFont="1" applyNumberFormat="1">
      <alignment readingOrder="0" vertical="center"/>
    </xf>
    <xf borderId="100" fillId="11" fontId="60" numFmtId="164" xfId="0" applyAlignment="1" applyBorder="1" applyFont="1" applyNumberFormat="1">
      <alignment horizontal="left" readingOrder="0" vertical="center"/>
    </xf>
    <xf borderId="3" fillId="3" fontId="61" numFmtId="164" xfId="0" applyAlignment="1" applyBorder="1" applyFont="1" applyNumberFormat="1">
      <alignment horizontal="right" readingOrder="0" vertical="center"/>
    </xf>
    <xf borderId="3" fillId="0" fontId="8" numFmtId="10" xfId="0" applyAlignment="1" applyBorder="1" applyFont="1" applyNumberFormat="1">
      <alignment horizontal="right" readingOrder="0" vertical="center"/>
    </xf>
    <xf borderId="0" fillId="0" fontId="8" numFmtId="10" xfId="0" applyAlignment="1" applyFont="1" applyNumberFormat="1">
      <alignment horizontal="right" readingOrder="0" vertical="center"/>
    </xf>
    <xf borderId="3" fillId="0" fontId="7" numFmtId="10" xfId="0" applyAlignment="1" applyBorder="1" applyFont="1" applyNumberFormat="1">
      <alignment horizontal="right" readingOrder="0" vertical="center"/>
    </xf>
    <xf borderId="100" fillId="0" fontId="32" numFmtId="164" xfId="0" applyAlignment="1" applyBorder="1" applyFont="1" applyNumberFormat="1">
      <alignment horizontal="right" readingOrder="0" vertical="center"/>
    </xf>
    <xf borderId="83" fillId="0" fontId="32" numFmtId="164" xfId="0" applyAlignment="1" applyBorder="1" applyFont="1" applyNumberFormat="1">
      <alignment vertical="center"/>
    </xf>
    <xf borderId="84" fillId="0" fontId="32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5" fillId="0" fontId="7" numFmtId="164" xfId="0" applyAlignment="1" applyBorder="1" applyFont="1" applyNumberFormat="1">
      <alignment vertical="center"/>
    </xf>
    <xf borderId="103" fillId="11" fontId="1" numFmtId="164" xfId="0" applyAlignment="1" applyBorder="1" applyFont="1" applyNumberFormat="1">
      <alignment horizontal="right" readingOrder="0" vertical="center"/>
    </xf>
    <xf borderId="104" fillId="0" fontId="3" numFmtId="0" xfId="0" applyBorder="1" applyFont="1"/>
    <xf borderId="105" fillId="0" fontId="3" numFmtId="0" xfId="0" applyBorder="1" applyFont="1"/>
    <xf borderId="100" fillId="0" fontId="8" numFmtId="164" xfId="0" applyAlignment="1" applyBorder="1" applyFont="1" applyNumberFormat="1">
      <alignment horizontal="right" readingOrder="0" vertical="center"/>
    </xf>
    <xf borderId="3" fillId="0" fontId="7" numFmtId="10" xfId="0" applyAlignment="1" applyBorder="1" applyFont="1" applyNumberFormat="1">
      <alignment horizontal="right" readingOrder="0" shrinkToFit="0" vertical="center" wrapText="1"/>
    </xf>
    <xf borderId="29" fillId="9" fontId="7" numFmtId="164" xfId="0" applyAlignment="1" applyBorder="1" applyFont="1" applyNumberFormat="1">
      <alignment horizontal="center" readingOrder="0" vertical="center"/>
    </xf>
    <xf borderId="100" fillId="11" fontId="33" numFmtId="164" xfId="0" applyAlignment="1" applyBorder="1" applyFont="1" applyNumberFormat="1">
      <alignment horizontal="left" readingOrder="0" vertical="center"/>
    </xf>
    <xf borderId="0" fillId="9" fontId="1" numFmtId="164" xfId="0" applyAlignment="1" applyFont="1" applyNumberFormat="1">
      <alignment vertical="center"/>
    </xf>
    <xf borderId="15" fillId="9" fontId="1" numFmtId="164" xfId="0" applyAlignment="1" applyBorder="1" applyFont="1" applyNumberFormat="1">
      <alignment vertical="center"/>
    </xf>
    <xf borderId="3" fillId="0" fontId="45" numFmtId="164" xfId="0" applyAlignment="1" applyBorder="1" applyFont="1" applyNumberFormat="1">
      <alignment horizontal="right" readingOrder="0" vertical="center"/>
    </xf>
    <xf borderId="83" fillId="0" fontId="45" numFmtId="164" xfId="0" applyAlignment="1" applyBorder="1" applyFont="1" applyNumberFormat="1">
      <alignment readingOrder="0" vertical="center"/>
    </xf>
    <xf borderId="100" fillId="0" fontId="45" numFmtId="164" xfId="0" applyAlignment="1" applyBorder="1" applyFont="1" applyNumberFormat="1">
      <alignment horizontal="right" readingOrder="0" vertical="center"/>
    </xf>
    <xf borderId="106" fillId="14" fontId="7" numFmtId="164" xfId="0" applyAlignment="1" applyBorder="1" applyFont="1" applyNumberFormat="1">
      <alignment horizontal="center" readingOrder="0" vertical="center"/>
    </xf>
    <xf borderId="107" fillId="0" fontId="3" numFmtId="0" xfId="0" applyBorder="1" applyFont="1"/>
    <xf borderId="0" fillId="3" fontId="1" numFmtId="164" xfId="0" applyAlignment="1" applyFont="1" applyNumberFormat="1">
      <alignment readingOrder="0" vertical="center"/>
    </xf>
    <xf borderId="108" fillId="14" fontId="7" numFmtId="164" xfId="0" applyAlignment="1" applyBorder="1" applyFont="1" applyNumberFormat="1">
      <alignment horizontal="center" readingOrder="0" vertical="center"/>
    </xf>
    <xf borderId="100" fillId="3" fontId="60" numFmtId="164" xfId="0" applyAlignment="1" applyBorder="1" applyFont="1" applyNumberFormat="1">
      <alignment horizontal="left" readingOrder="0" vertical="center"/>
    </xf>
    <xf borderId="0" fillId="14" fontId="1" numFmtId="164" xfId="0" applyAlignment="1" applyFont="1" applyNumberFormat="1">
      <alignment readingOrder="0" vertical="center"/>
    </xf>
    <xf borderId="17" fillId="14" fontId="7" numFmtId="10" xfId="0" applyAlignment="1" applyBorder="1" applyFont="1" applyNumberFormat="1">
      <alignment horizontal="center" vertical="center"/>
    </xf>
    <xf borderId="8" fillId="14" fontId="1" numFmtId="164" xfId="0" applyAlignment="1" applyBorder="1" applyFont="1" applyNumberFormat="1">
      <alignment readingOrder="0" vertical="center"/>
    </xf>
    <xf borderId="63" fillId="11" fontId="31" numFmtId="164" xfId="0" applyAlignment="1" applyBorder="1" applyFont="1" applyNumberFormat="1">
      <alignment horizontal="right" readingOrder="0" vertical="center"/>
    </xf>
    <xf borderId="63" fillId="11" fontId="31" numFmtId="164" xfId="0" applyAlignment="1" applyBorder="1" applyFont="1" applyNumberFormat="1">
      <alignment vertical="center"/>
    </xf>
    <xf borderId="64" fillId="11" fontId="31" numFmtId="164" xfId="0" applyAlignment="1" applyBorder="1" applyFont="1" applyNumberFormat="1">
      <alignment vertical="center"/>
    </xf>
    <xf borderId="14" fillId="14" fontId="1" numFmtId="0" xfId="0" applyAlignment="1" applyBorder="1" applyFont="1">
      <alignment vertical="center"/>
    </xf>
    <xf borderId="109" fillId="14" fontId="1" numFmtId="0" xfId="0" applyAlignment="1" applyBorder="1" applyFont="1">
      <alignment horizontal="center" readingOrder="0" vertical="center"/>
    </xf>
    <xf borderId="109" fillId="14" fontId="1" numFmtId="164" xfId="0" applyAlignment="1" applyBorder="1" applyFont="1" applyNumberFormat="1">
      <alignment horizontal="center" readingOrder="0" vertical="center"/>
    </xf>
    <xf borderId="110" fillId="14" fontId="1" numFmtId="164" xfId="0" applyAlignment="1" applyBorder="1" applyFont="1" applyNumberFormat="1">
      <alignment horizontal="center" readingOrder="0" vertical="center"/>
    </xf>
    <xf borderId="18" fillId="14" fontId="9" numFmtId="0" xfId="0" applyAlignment="1" applyBorder="1" applyFont="1">
      <alignment horizontal="right" readingOrder="0" shrinkToFit="0" vertical="center" wrapText="1"/>
    </xf>
    <xf borderId="0" fillId="14" fontId="1" numFmtId="164" xfId="0" applyAlignment="1" applyFont="1" applyNumberFormat="1">
      <alignment horizontal="right" vertical="center"/>
    </xf>
    <xf borderId="15" fillId="14" fontId="1" numFmtId="164" xfId="0" applyAlignment="1" applyBorder="1" applyFont="1" applyNumberFormat="1">
      <alignment horizontal="right" vertical="center"/>
    </xf>
    <xf borderId="18" fillId="0" fontId="3" numFmtId="0" xfId="0" applyBorder="1" applyFont="1"/>
    <xf borderId="102" fillId="0" fontId="45" numFmtId="164" xfId="0" applyAlignment="1" applyBorder="1" applyFont="1" applyNumberFormat="1">
      <alignment horizontal="right" readingOrder="0" shrinkToFit="0" vertical="center" wrapText="1"/>
    </xf>
    <xf borderId="67" fillId="0" fontId="45" numFmtId="164" xfId="0" applyAlignment="1" applyBorder="1" applyFont="1" applyNumberFormat="1">
      <alignment horizontal="right" vertical="center"/>
    </xf>
    <xf borderId="68" fillId="0" fontId="45" numFmtId="164" xfId="0" applyAlignment="1" applyBorder="1" applyFont="1" applyNumberFormat="1">
      <alignment horizontal="right" vertical="center"/>
    </xf>
    <xf borderId="38" fillId="14" fontId="62" numFmtId="0" xfId="0" applyAlignment="1" applyBorder="1" applyFont="1">
      <alignment horizontal="right" readingOrder="0" vertical="center"/>
    </xf>
    <xf borderId="111" fillId="14" fontId="63" numFmtId="164" xfId="0" applyAlignment="1" applyBorder="1" applyFont="1" applyNumberFormat="1">
      <alignment horizontal="right" vertical="center"/>
    </xf>
    <xf borderId="112" fillId="14" fontId="63" numFmtId="164" xfId="0" applyAlignment="1" applyBorder="1" applyFont="1" applyNumberFormat="1">
      <alignment horizontal="right" vertical="center"/>
    </xf>
    <xf borderId="3" fillId="11" fontId="31" numFmtId="164" xfId="0" applyAlignment="1" applyBorder="1" applyFont="1" applyNumberFormat="1">
      <alignment horizontal="right" readingOrder="0" vertical="center"/>
    </xf>
    <xf borderId="0" fillId="11" fontId="31" numFmtId="164" xfId="0" applyAlignment="1" applyFont="1" applyNumberFormat="1">
      <alignment readingOrder="0" vertical="center"/>
    </xf>
    <xf borderId="61" fillId="11" fontId="31" numFmtId="164" xfId="0" applyAlignment="1" applyBorder="1" applyFont="1" applyNumberFormat="1">
      <alignment horizontal="right" readingOrder="0" vertical="center"/>
    </xf>
    <xf borderId="61" fillId="11" fontId="31" numFmtId="164" xfId="0" applyAlignment="1" applyBorder="1" applyFont="1" applyNumberFormat="1">
      <alignment vertical="center"/>
    </xf>
    <xf borderId="62" fillId="11" fontId="31" numFmtId="16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15" fillId="0" fontId="63" numFmtId="164" xfId="0" applyAlignment="1" applyBorder="1" applyFont="1" applyNumberFormat="1">
      <alignment horizontal="right" vertical="center"/>
    </xf>
    <xf borderId="61" fillId="0" fontId="7" numFmtId="164" xfId="0" applyAlignment="1" applyBorder="1" applyFont="1" applyNumberFormat="1">
      <alignment readingOrder="0" vertical="center"/>
    </xf>
    <xf borderId="62" fillId="0" fontId="7" numFmtId="164" xfId="0" applyAlignment="1" applyBorder="1" applyFont="1" applyNumberFormat="1">
      <alignment vertical="center"/>
    </xf>
    <xf borderId="63" fillId="0" fontId="64" numFmtId="10" xfId="0" applyAlignment="1" applyBorder="1" applyFont="1" applyNumberFormat="1">
      <alignment horizontal="left" readingOrder="0" vertical="center"/>
    </xf>
    <xf borderId="1" fillId="0" fontId="21" numFmtId="164" xfId="0" applyAlignment="1" applyBorder="1" applyFont="1" applyNumberFormat="1">
      <alignment readingOrder="0" vertical="center"/>
    </xf>
    <xf borderId="1" fillId="0" fontId="64" numFmtId="10" xfId="0" applyAlignment="1" applyBorder="1" applyFont="1" applyNumberFormat="1">
      <alignment horizontal="left" readingOrder="0" vertical="center"/>
    </xf>
    <xf borderId="3" fillId="0" fontId="44" numFmtId="0" xfId="0" applyAlignment="1" applyBorder="1" applyFont="1">
      <alignment horizontal="right" readingOrder="0" vertical="center"/>
    </xf>
    <xf borderId="0" fillId="0" fontId="31" numFmtId="164" xfId="0" applyAlignment="1" applyFont="1" applyNumberFormat="1">
      <alignment vertical="center"/>
    </xf>
    <xf borderId="15" fillId="0" fontId="31" numFmtId="164" xfId="0" applyAlignment="1" applyBorder="1" applyFont="1" applyNumberFormat="1">
      <alignment vertical="center"/>
    </xf>
    <xf borderId="102" fillId="0" fontId="8" numFmtId="0" xfId="0" applyAlignment="1" applyBorder="1" applyFont="1">
      <alignment horizontal="right" readingOrder="0" vertical="center"/>
    </xf>
    <xf borderId="1" fillId="0" fontId="8" numFmtId="164" xfId="0" applyAlignment="1" applyBorder="1" applyFont="1" applyNumberFormat="1">
      <alignment vertical="center"/>
    </xf>
    <xf borderId="82" fillId="0" fontId="8" numFmtId="164" xfId="0" applyAlignment="1" applyBorder="1" applyFont="1" applyNumberFormat="1">
      <alignment vertical="center"/>
    </xf>
    <xf borderId="106" fillId="13" fontId="9" numFmtId="164" xfId="0" applyAlignment="1" applyBorder="1" applyFont="1" applyNumberFormat="1">
      <alignment horizontal="center" readingOrder="0" vertical="center"/>
    </xf>
    <xf borderId="100" fillId="0" fontId="8" numFmtId="0" xfId="0" applyAlignment="1" applyBorder="1" applyFont="1">
      <alignment horizontal="right" readingOrder="0" vertical="center"/>
    </xf>
    <xf borderId="61" fillId="0" fontId="8" numFmtId="164" xfId="0" applyAlignment="1" applyBorder="1" applyFont="1" applyNumberFormat="1">
      <alignment readingOrder="0" vertical="center"/>
    </xf>
    <xf borderId="62" fillId="0" fontId="8" numFmtId="164" xfId="0" applyAlignment="1" applyBorder="1" applyFont="1" applyNumberFormat="1">
      <alignment vertical="center"/>
    </xf>
    <xf borderId="113" fillId="14" fontId="7" numFmtId="164" xfId="0" applyAlignment="1" applyBorder="1" applyFont="1" applyNumberFormat="1">
      <alignment horizontal="center" readingOrder="0" vertical="center"/>
    </xf>
    <xf borderId="65" fillId="14" fontId="7" numFmtId="164" xfId="0" applyAlignment="1" applyBorder="1" applyFont="1" applyNumberFormat="1">
      <alignment horizontal="right" readingOrder="0" vertical="center"/>
    </xf>
    <xf borderId="65" fillId="14" fontId="65" numFmtId="164" xfId="0" applyAlignment="1" applyBorder="1" applyFont="1" applyNumberFormat="1">
      <alignment horizontal="center" readingOrder="0" vertical="center"/>
    </xf>
    <xf borderId="114" fillId="14" fontId="65" numFmtId="164" xfId="0" applyAlignment="1" applyBorder="1" applyFont="1" applyNumberFormat="1">
      <alignment horizontal="center" readingOrder="0" vertical="center"/>
    </xf>
    <xf borderId="3" fillId="0" fontId="44" numFmtId="164" xfId="0" applyAlignment="1" applyBorder="1" applyFont="1" applyNumberFormat="1">
      <alignment horizontal="right" readingOrder="0" vertical="center"/>
    </xf>
    <xf borderId="0" fillId="0" fontId="44" numFmtId="164" xfId="0" applyAlignment="1" applyFont="1" applyNumberFormat="1">
      <alignment vertical="center"/>
    </xf>
    <xf borderId="15" fillId="0" fontId="44" numFmtId="164" xfId="0" applyAlignment="1" applyBorder="1" applyFont="1" applyNumberFormat="1">
      <alignment vertical="center"/>
    </xf>
    <xf borderId="0" fillId="14" fontId="11" numFmtId="164" xfId="0" applyAlignment="1" applyFont="1" applyNumberFormat="1">
      <alignment horizontal="center" readingOrder="0" vertical="center"/>
    </xf>
    <xf borderId="17" fillId="14" fontId="11" numFmtId="164" xfId="0" applyAlignment="1" applyBorder="1" applyFont="1" applyNumberFormat="1">
      <alignment horizontal="right" vertical="center"/>
    </xf>
    <xf borderId="0" fillId="3" fontId="31" numFmtId="164" xfId="0" applyAlignment="1" applyFont="1" applyNumberFormat="1">
      <alignment horizontal="right" readingOrder="0" vertical="center"/>
    </xf>
    <xf borderId="0" fillId="3" fontId="31" numFmtId="164" xfId="0" applyAlignment="1" applyFont="1" applyNumberFormat="1">
      <alignment vertical="center"/>
    </xf>
    <xf borderId="15" fillId="3" fontId="31" numFmtId="164" xfId="0" applyAlignment="1" applyBorder="1" applyFont="1" applyNumberFormat="1">
      <alignment vertical="center"/>
    </xf>
    <xf borderId="0" fillId="14" fontId="11" numFmtId="164" xfId="0" applyAlignment="1" applyFont="1" applyNumberFormat="1">
      <alignment horizontal="center" vertical="center"/>
    </xf>
    <xf borderId="38" fillId="14" fontId="7" numFmtId="0" xfId="0" applyAlignment="1" applyBorder="1" applyFont="1">
      <alignment horizontal="center" readingOrder="0"/>
    </xf>
    <xf borderId="8" fillId="14" fontId="25" numFmtId="0" xfId="0" applyAlignment="1" applyBorder="1" applyFont="1">
      <alignment horizontal="center" readingOrder="0"/>
    </xf>
    <xf borderId="20" fillId="14" fontId="1" numFmtId="164" xfId="0" applyBorder="1" applyFont="1" applyNumberFormat="1"/>
    <xf borderId="31" fillId="11" fontId="31" numFmtId="164" xfId="0" applyAlignment="1" applyBorder="1" applyFont="1" applyNumberFormat="1">
      <alignment horizontal="right" readingOrder="0" vertical="center"/>
    </xf>
    <xf borderId="32" fillId="11" fontId="31" numFmtId="164" xfId="0" applyAlignment="1" applyBorder="1" applyFont="1" applyNumberFormat="1">
      <alignment readingOrder="0" vertical="center"/>
    </xf>
    <xf borderId="104" fillId="11" fontId="31" numFmtId="164" xfId="0" applyAlignment="1" applyBorder="1" applyFont="1" applyNumberFormat="1">
      <alignment horizontal="right" readingOrder="0" vertical="center"/>
    </xf>
    <xf borderId="104" fillId="11" fontId="31" numFmtId="164" xfId="0" applyAlignment="1" applyBorder="1" applyFont="1" applyNumberFormat="1">
      <alignment vertical="center"/>
    </xf>
    <xf borderId="105" fillId="11" fontId="31" numFmtId="164" xfId="0" applyAlignment="1" applyBorder="1" applyFont="1" applyNumberFormat="1">
      <alignment vertical="center"/>
    </xf>
    <xf borderId="40" fillId="13" fontId="9" numFmtId="164" xfId="0" applyAlignment="1" applyBorder="1" applyFont="1" applyNumberFormat="1">
      <alignment horizontal="center" readingOrder="0" vertical="center"/>
    </xf>
    <xf borderId="55" fillId="14" fontId="65" numFmtId="164" xfId="0" applyAlignment="1" applyBorder="1" applyFont="1" applyNumberFormat="1">
      <alignment horizontal="center" readingOrder="0" vertical="center"/>
    </xf>
    <xf borderId="88" fillId="14" fontId="65" numFmtId="164" xfId="0" applyAlignment="1" applyBorder="1" applyFont="1" applyNumberFormat="1">
      <alignment horizontal="center" readingOrder="0" vertical="center"/>
    </xf>
    <xf borderId="20" fillId="14" fontId="1" numFmtId="164" xfId="0" applyAlignment="1" applyBorder="1" applyFont="1" applyNumberFormat="1">
      <alignment horizontal="right"/>
    </xf>
    <xf borderId="100" fillId="3" fontId="60" numFmtId="164" xfId="0" applyAlignment="1" applyBorder="1" applyFont="1" applyNumberFormat="1">
      <alignment horizontal="left" readingOrder="0" shrinkToFit="0" vertical="center" wrapText="1"/>
    </xf>
    <xf borderId="14" fillId="13" fontId="7" numFmtId="164" xfId="0" applyAlignment="1" applyBorder="1" applyFont="1" applyNumberFormat="1">
      <alignment horizontal="center" readingOrder="0" vertical="center"/>
    </xf>
    <xf borderId="100" fillId="11" fontId="23" numFmtId="164" xfId="0" applyAlignment="1" applyBorder="1" applyFont="1" applyNumberFormat="1">
      <alignment horizontal="center" readingOrder="0" shrinkToFit="0" vertical="center" wrapText="1"/>
    </xf>
    <xf borderId="2" fillId="14" fontId="1" numFmtId="164" xfId="0" applyAlignment="1" applyBorder="1" applyFont="1" applyNumberFormat="1">
      <alignment horizontal="center" readingOrder="0" vertical="center"/>
    </xf>
    <xf borderId="108" fillId="14" fontId="1" numFmtId="164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8" numFmtId="164" xfId="0" applyAlignment="1" applyFont="1" applyNumberFormat="1">
      <alignment horizontal="right" shrinkToFit="0" vertical="center" wrapText="1"/>
    </xf>
    <xf borderId="15" fillId="0" fontId="1" numFmtId="164" xfId="0" applyAlignment="1" applyBorder="1" applyFont="1" applyNumberFormat="1">
      <alignment horizontal="right" vertical="center"/>
    </xf>
    <xf borderId="0" fillId="14" fontId="1" numFmtId="169" xfId="0" applyAlignment="1" applyFont="1" applyNumberFormat="1">
      <alignment horizontal="right" readingOrder="0" vertical="center"/>
    </xf>
    <xf borderId="17" fillId="14" fontId="7" numFmtId="164" xfId="0" applyAlignment="1" applyBorder="1" applyFont="1" applyNumberFormat="1">
      <alignment vertical="center"/>
    </xf>
    <xf borderId="3" fillId="0" fontId="8" numFmtId="164" xfId="0" applyAlignment="1" applyBorder="1" applyFont="1" applyNumberFormat="1">
      <alignment horizontal="right" readingOrder="0" shrinkToFit="0" vertical="center" wrapText="1"/>
    </xf>
    <xf borderId="8" fillId="0" fontId="1" numFmtId="164" xfId="0" applyAlignment="1" applyBorder="1" applyFont="1" applyNumberFormat="1">
      <alignment horizontal="right" vertical="center"/>
    </xf>
    <xf borderId="8" fillId="14" fontId="1" numFmtId="169" xfId="0" applyAlignment="1" applyBorder="1" applyFont="1" applyNumberFormat="1">
      <alignment vertical="center"/>
    </xf>
    <xf borderId="8" fillId="14" fontId="1" numFmtId="164" xfId="0" applyAlignment="1" applyBorder="1" applyFont="1" applyNumberFormat="1">
      <alignment horizontal="center" vertical="center"/>
    </xf>
    <xf borderId="20" fillId="14" fontId="7" numFmtId="164" xfId="0" applyAlignment="1" applyBorder="1" applyFont="1" applyNumberFormat="1">
      <alignment vertical="center"/>
    </xf>
    <xf borderId="0" fillId="0" fontId="8" numFmtId="164" xfId="0" applyAlignment="1" applyFont="1" applyNumberFormat="1">
      <alignment horizontal="right" vertical="center"/>
    </xf>
    <xf borderId="101" fillId="11" fontId="31" numFmtId="164" xfId="0" applyAlignment="1" applyBorder="1" applyFont="1" applyNumberFormat="1">
      <alignment horizontal="right" readingOrder="0" shrinkToFit="0" vertical="center" wrapText="1"/>
    </xf>
    <xf borderId="63" fillId="11" fontId="31" numFmtId="164" xfId="0" applyAlignment="1" applyBorder="1" applyFont="1" applyNumberFormat="1">
      <alignment readingOrder="0" shrinkToFit="0" vertical="center" wrapText="1"/>
    </xf>
    <xf borderId="63" fillId="11" fontId="31" numFmtId="164" xfId="0" applyAlignment="1" applyBorder="1" applyFont="1" applyNumberFormat="1">
      <alignment horizontal="right" readingOrder="0" shrinkToFit="0" vertical="center" wrapText="1"/>
    </xf>
    <xf borderId="63" fillId="11" fontId="31" numFmtId="164" xfId="0" applyAlignment="1" applyBorder="1" applyFont="1" applyNumberFormat="1">
      <alignment shrinkToFit="0" vertical="center" wrapText="1"/>
    </xf>
    <xf borderId="63" fillId="11" fontId="31" numFmtId="164" xfId="0" applyAlignment="1" applyBorder="1" applyFont="1" applyNumberFormat="1">
      <alignment horizontal="right" vertical="center"/>
    </xf>
    <xf borderId="64" fillId="11" fontId="31" numFmtId="164" xfId="0" applyAlignment="1" applyBorder="1" applyFont="1" applyNumberFormat="1">
      <alignment horizontal="right" vertical="center"/>
    </xf>
    <xf borderId="0" fillId="0" fontId="7" numFmtId="164" xfId="0" applyAlignment="1" applyFont="1" applyNumberFormat="1">
      <alignment horizontal="right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15" fillId="0" fontId="7" numFmtId="164" xfId="0" applyAlignment="1" applyBorder="1" applyFont="1" applyNumberFormat="1">
      <alignment horizontal="right" vertical="center"/>
    </xf>
    <xf borderId="0" fillId="0" fontId="11" numFmtId="164" xfId="0" applyAlignment="1" applyFont="1" applyNumberFormat="1">
      <alignment horizontal="right" vertical="center"/>
    </xf>
    <xf borderId="0" fillId="0" fontId="1" numFmtId="0" xfId="0" applyAlignment="1" applyFont="1">
      <alignment horizontal="right" readingOrder="0" shrinkToFit="0" wrapText="1"/>
    </xf>
    <xf borderId="9" fillId="0" fontId="1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shrinkToFit="0" vertical="center" wrapText="1"/>
    </xf>
    <xf borderId="63" fillId="0" fontId="8" numFmtId="164" xfId="0" applyAlignment="1" applyBorder="1" applyFont="1" applyNumberFormat="1">
      <alignment horizontal="right" readingOrder="0" shrinkToFit="0" vertical="center" wrapText="1"/>
    </xf>
    <xf borderId="63" fillId="0" fontId="11" numFmtId="164" xfId="0" applyAlignment="1" applyBorder="1" applyFont="1" applyNumberFormat="1">
      <alignment horizontal="right" vertical="center"/>
    </xf>
    <xf borderId="53" fillId="0" fontId="7" numFmtId="164" xfId="0" applyAlignment="1" applyBorder="1" applyFont="1" applyNumberFormat="1">
      <alignment horizontal="right" vertical="center"/>
    </xf>
    <xf borderId="63" fillId="11" fontId="16" numFmtId="164" xfId="0" applyAlignment="1" applyBorder="1" applyFont="1" applyNumberFormat="1">
      <alignment horizontal="right" vertical="center"/>
    </xf>
    <xf borderId="15" fillId="11" fontId="31" numFmtId="164" xfId="0" applyAlignment="1" applyBorder="1" applyFont="1" applyNumberFormat="1">
      <alignment horizontal="right" vertical="center"/>
    </xf>
    <xf borderId="15" fillId="0" fontId="8" numFmtId="164" xfId="0" applyAlignment="1" applyBorder="1" applyFont="1" applyNumberFormat="1">
      <alignment horizontal="right" readingOrder="0" vertical="center"/>
    </xf>
    <xf borderId="6" fillId="0" fontId="8" numFmtId="164" xfId="0" applyAlignment="1" applyBorder="1" applyFont="1" applyNumberFormat="1">
      <alignment horizontal="right" readingOrder="0" vertical="center"/>
    </xf>
    <xf borderId="9" fillId="0" fontId="7" numFmtId="164" xfId="0" applyAlignment="1" applyBorder="1" applyFont="1" applyNumberFormat="1">
      <alignment horizontal="right" vertical="center"/>
    </xf>
    <xf borderId="6" fillId="0" fontId="1" numFmtId="164" xfId="0" applyAlignment="1" applyBorder="1" applyFont="1" applyNumberFormat="1">
      <alignment horizontal="right" vertical="center"/>
    </xf>
    <xf borderId="62" fillId="11" fontId="31" numFmtId="164" xfId="0" applyAlignment="1" applyBorder="1" applyFont="1" applyNumberFormat="1">
      <alignment horizontal="right" vertical="center"/>
    </xf>
    <xf borderId="0" fillId="0" fontId="32" numFmtId="164" xfId="0" applyAlignment="1" applyFont="1" applyNumberFormat="1">
      <alignment horizontal="right" readingOrder="0" shrinkToFit="0" vertical="center" wrapText="1"/>
    </xf>
    <xf borderId="0" fillId="0" fontId="32" numFmtId="164" xfId="0" applyAlignment="1" applyFont="1" applyNumberFormat="1">
      <alignment horizontal="center" readingOrder="0" shrinkToFit="0" vertical="center" wrapText="1"/>
    </xf>
    <xf borderId="15" fillId="0" fontId="32" numFmtId="164" xfId="0" applyAlignment="1" applyBorder="1" applyFont="1" applyNumberFormat="1">
      <alignment horizontal="right" vertical="center"/>
    </xf>
    <xf borderId="3" fillId="3" fontId="31" numFmtId="164" xfId="0" applyAlignment="1" applyBorder="1" applyFont="1" applyNumberFormat="1">
      <alignment horizontal="right" readingOrder="0" shrinkToFit="0" vertical="center" wrapText="1"/>
    </xf>
    <xf borderId="32" fillId="11" fontId="31" numFmtId="164" xfId="0" applyAlignment="1" applyBorder="1" applyFont="1" applyNumberFormat="1">
      <alignment horizontal="right" readingOrder="0" vertical="center"/>
    </xf>
    <xf borderId="32" fillId="11" fontId="31" numFmtId="164" xfId="0" applyAlignment="1" applyBorder="1" applyFont="1" applyNumberFormat="1">
      <alignment vertical="center"/>
    </xf>
    <xf borderId="33" fillId="11" fontId="31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left" shrinkToFit="0" vertical="center" wrapText="1"/>
    </xf>
    <xf borderId="0" fillId="0" fontId="45" numFmtId="164" xfId="0" applyAlignment="1" applyFont="1" applyNumberFormat="1">
      <alignment horizontal="right" readingOrder="0" shrinkToFit="0" vertical="center" wrapText="1"/>
    </xf>
    <xf borderId="0" fillId="0" fontId="45" numFmtId="164" xfId="0" applyAlignment="1" applyFont="1" applyNumberFormat="1">
      <alignment horizontal="center" readingOrder="0" vertical="center"/>
    </xf>
    <xf borderId="23" fillId="0" fontId="45" numFmtId="164" xfId="0" applyAlignment="1" applyBorder="1" applyFont="1" applyNumberFormat="1">
      <alignment horizontal="center" vertical="center"/>
    </xf>
    <xf borderId="100" fillId="11" fontId="23" numFmtId="164" xfId="0" applyAlignment="1" applyBorder="1" applyFont="1" applyNumberFormat="1">
      <alignment horizontal="center" readingOrder="0" vertical="center"/>
    </xf>
    <xf borderId="0" fillId="0" fontId="66" numFmtId="164" xfId="0" applyAlignment="1" applyFont="1" applyNumberFormat="1">
      <alignment vertical="center"/>
    </xf>
    <xf borderId="61" fillId="3" fontId="60" numFmtId="164" xfId="0" applyAlignment="1" applyBorder="1" applyFont="1" applyNumberFormat="1">
      <alignment horizontal="left" readingOrder="0" vertical="center"/>
    </xf>
    <xf borderId="0" fillId="0" fontId="32" numFmtId="164" xfId="0" applyAlignment="1" applyFont="1" applyNumberFormat="1">
      <alignment horizontal="center" readingOrder="0" vertical="center"/>
    </xf>
    <xf borderId="70" fillId="0" fontId="32" numFmtId="164" xfId="0" applyAlignment="1" applyBorder="1" applyFont="1" applyNumberFormat="1">
      <alignment horizontal="center" vertical="center"/>
    </xf>
    <xf borderId="71" fillId="0" fontId="3" numFmtId="0" xfId="0" applyBorder="1" applyFont="1"/>
    <xf borderId="100" fillId="11" fontId="32" numFmtId="164" xfId="0" applyAlignment="1" applyBorder="1" applyFont="1" applyNumberFormat="1">
      <alignment horizontal="center" readingOrder="0" vertical="center"/>
    </xf>
    <xf borderId="15" fillId="0" fontId="1" numFmtId="0" xfId="0" applyAlignment="1" applyBorder="1" applyFont="1">
      <alignment horizontal="right"/>
    </xf>
    <xf borderId="3" fillId="3" fontId="23" numFmtId="164" xfId="0" applyAlignment="1" applyBorder="1" applyFont="1" applyNumberFormat="1">
      <alignment horizontal="center" readingOrder="0" vertical="center"/>
    </xf>
    <xf borderId="61" fillId="11" fontId="23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right"/>
    </xf>
    <xf borderId="0" fillId="0" fontId="45" numFmtId="164" xfId="0" applyAlignment="1" applyFont="1" applyNumberFormat="1">
      <alignment horizontal="right" readingOrder="0" vertical="center"/>
    </xf>
    <xf borderId="0" fillId="0" fontId="66" numFmtId="164" xfId="0" applyAlignment="1" applyFont="1" applyNumberFormat="1">
      <alignment horizontal="center" readingOrder="0" shrinkToFit="0" vertical="center" wrapText="1"/>
    </xf>
    <xf borderId="53" fillId="0" fontId="45" numFmtId="164" xfId="0" applyAlignment="1" applyBorder="1" applyFont="1" applyNumberFormat="1">
      <alignment horizontal="right" vertical="center"/>
    </xf>
    <xf borderId="101" fillId="11" fontId="31" numFmtId="164" xfId="0" applyAlignment="1" applyBorder="1" applyFont="1" applyNumberFormat="1">
      <alignment horizontal="right" readingOrder="0" vertical="center"/>
    </xf>
    <xf borderId="63" fillId="11" fontId="31" numFmtId="164" xfId="0" applyAlignment="1" applyBorder="1" applyFont="1" applyNumberFormat="1">
      <alignment readingOrder="0" vertical="center"/>
    </xf>
    <xf borderId="9" fillId="0" fontId="1" numFmtId="164" xfId="0" applyAlignment="1" applyBorder="1" applyFont="1" applyNumberFormat="1">
      <alignment horizontal="right" readingOrder="0" vertical="center"/>
    </xf>
    <xf borderId="0" fillId="0" fontId="39" numFmtId="164" xfId="0" applyAlignment="1" applyFont="1" applyNumberFormat="1">
      <alignment horizontal="center" readingOrder="0" shrinkToFit="0" vertical="center" wrapText="1"/>
    </xf>
    <xf borderId="69" fillId="0" fontId="32" numFmtId="164" xfId="0" applyAlignment="1" applyBorder="1" applyFont="1" applyNumberFormat="1">
      <alignment horizontal="right" vertical="center"/>
    </xf>
    <xf borderId="103" fillId="11" fontId="31" numFmtId="164" xfId="0" applyAlignment="1" applyBorder="1" applyFont="1" applyNumberFormat="1">
      <alignment horizontal="right" readingOrder="0" vertical="center"/>
    </xf>
    <xf borderId="104" fillId="11" fontId="31" numFmtId="164" xfId="0" applyAlignment="1" applyBorder="1" applyFont="1" applyNumberFormat="1">
      <alignment readingOrder="0" vertical="center"/>
    </xf>
    <xf borderId="104" fillId="11" fontId="31" numFmtId="164" xfId="0" applyAlignment="1" applyBorder="1" applyFont="1" applyNumberFormat="1">
      <alignment horizontal="right" vertical="center"/>
    </xf>
    <xf borderId="33" fillId="11" fontId="31" numFmtId="164" xfId="0" applyAlignment="1" applyBorder="1" applyFont="1" applyNumberFormat="1">
      <alignment horizontal="right" vertical="center"/>
    </xf>
    <xf borderId="8" fillId="0" fontId="7" numFmtId="164" xfId="0" applyAlignment="1" applyBorder="1" applyFont="1" applyNumberFormat="1">
      <alignment horizontal="center" readingOrder="0" shrinkToFit="0" vertical="center" wrapText="0"/>
    </xf>
    <xf borderId="115" fillId="0" fontId="1" numFmtId="164" xfId="0" applyAlignment="1" applyBorder="1" applyFont="1" applyNumberFormat="1">
      <alignment vertical="center"/>
    </xf>
    <xf borderId="115" fillId="0" fontId="1" numFmtId="164" xfId="0" applyAlignment="1" applyBorder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right" shrinkToFit="0" vertical="center" wrapText="1"/>
    </xf>
    <xf borderId="9" fillId="0" fontId="45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23" fillId="0" fontId="7" numFmtId="0" xfId="0" applyAlignment="1" applyBorder="1" applyFont="1">
      <alignment horizontal="center" readingOrder="0" vertical="center"/>
    </xf>
    <xf borderId="0" fillId="0" fontId="1" numFmtId="10" xfId="0" applyAlignment="1" applyFont="1" applyNumberFormat="1">
      <alignment horizontal="right" readingOrder="0" vertical="center"/>
    </xf>
    <xf borderId="115" fillId="0" fontId="1" numFmtId="164" xfId="0" applyAlignment="1" applyBorder="1" applyFont="1" applyNumberFormat="1">
      <alignment horizontal="center" readingOrder="0" vertical="center"/>
    </xf>
    <xf borderId="0" fillId="0" fontId="1" numFmtId="10" xfId="0" applyAlignment="1" applyFont="1" applyNumberFormat="1">
      <alignment vertical="center"/>
    </xf>
    <xf borderId="115" fillId="0" fontId="1" numFmtId="164" xfId="0" applyAlignment="1" applyBorder="1" applyFont="1" applyNumberFormat="1">
      <alignment readingOrder="0" vertical="center"/>
    </xf>
    <xf borderId="0" fillId="0" fontId="1" numFmtId="164" xfId="0" applyAlignment="1" applyFont="1" applyNumberFormat="1">
      <alignment readingOrder="0" shrinkToFit="0" vertical="center" wrapText="0"/>
    </xf>
    <xf borderId="61" fillId="2" fontId="1" numFmtId="164" xfId="0" applyAlignment="1" applyBorder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vertical="center"/>
    </xf>
    <xf borderId="0" fillId="0" fontId="11" numFmtId="164" xfId="0" applyAlignment="1" applyFont="1" applyNumberFormat="1">
      <alignment horizontal="right" readingOrder="0" shrinkToFit="0" vertical="center" wrapText="1"/>
    </xf>
    <xf borderId="8" fillId="0" fontId="1" numFmtId="164" xfId="0" applyAlignment="1" applyBorder="1" applyFont="1" applyNumberFormat="1">
      <alignment vertical="center"/>
    </xf>
    <xf borderId="23" fillId="13" fontId="7" numFmtId="164" xfId="0" applyAlignment="1" applyBorder="1" applyFont="1" applyNumberFormat="1">
      <alignment horizontal="center" readingOrder="0" vertical="center"/>
    </xf>
    <xf borderId="23" fillId="0" fontId="7" numFmtId="172" xfId="0" applyAlignment="1" applyBorder="1" applyFont="1" applyNumberFormat="1">
      <alignment horizontal="center" readingOrder="0" vertical="center"/>
    </xf>
    <xf borderId="0" fillId="14" fontId="1" numFmtId="164" xfId="0" applyAlignment="1" applyFont="1" applyNumberFormat="1">
      <alignment horizontal="right" readingOrder="0" vertical="center"/>
    </xf>
    <xf borderId="17" fillId="14" fontId="1" numFmtId="164" xfId="0" applyBorder="1" applyFont="1" applyNumberFormat="1"/>
    <xf borderId="15" fillId="0" fontId="45" numFmtId="164" xfId="0" applyAlignment="1" applyBorder="1" applyFont="1" applyNumberFormat="1">
      <alignment vertical="center"/>
    </xf>
    <xf borderId="8" fillId="14" fontId="1" numFmtId="0" xfId="0" applyAlignment="1" applyBorder="1" applyFont="1">
      <alignment horizontal="right" readingOrder="0"/>
    </xf>
    <xf borderId="8" fillId="14" fontId="1" numFmtId="164" xfId="0" applyAlignment="1" applyBorder="1" applyFont="1" applyNumberFormat="1">
      <alignment vertical="center"/>
    </xf>
    <xf borderId="20" fillId="14" fontId="1" numFmtId="10" xfId="0" applyAlignment="1" applyBorder="1" applyFont="1" applyNumberFormat="1">
      <alignment vertical="center"/>
    </xf>
    <xf borderId="71" fillId="0" fontId="32" numFmtId="164" xfId="0" applyAlignment="1" applyBorder="1" applyFont="1" applyNumberFormat="1">
      <alignment horizontal="right" vertical="center"/>
    </xf>
    <xf borderId="5" fillId="14" fontId="1" numFmtId="164" xfId="0" applyAlignment="1" applyBorder="1" applyFont="1" applyNumberFormat="1">
      <alignment horizontal="right" readingOrder="0" vertical="center"/>
    </xf>
    <xf borderId="5" fillId="14" fontId="1" numFmtId="173" xfId="0" applyAlignment="1" applyBorder="1" applyFont="1" applyNumberFormat="1">
      <alignment readingOrder="0"/>
    </xf>
    <xf borderId="5" fillId="14" fontId="1" numFmtId="164" xfId="0" applyAlignment="1" applyBorder="1" applyFont="1" applyNumberFormat="1">
      <alignment vertical="center"/>
    </xf>
    <xf borderId="13" fillId="14" fontId="1" numFmtId="173" xfId="0" applyAlignment="1" applyBorder="1" applyFont="1" applyNumberFormat="1">
      <alignment vertical="center"/>
    </xf>
    <xf borderId="20" fillId="14" fontId="1" numFmtId="164" xfId="0" applyAlignment="1" applyBorder="1" applyFont="1" applyNumberFormat="1">
      <alignment vertical="center"/>
    </xf>
    <xf borderId="15" fillId="0" fontId="45" numFmtId="164" xfId="0" applyAlignment="1" applyBorder="1" applyFont="1" applyNumberFormat="1">
      <alignment horizontal="right" vertical="center"/>
    </xf>
    <xf borderId="0" fillId="0" fontId="11" numFmtId="164" xfId="0" applyAlignment="1" applyFont="1" applyNumberFormat="1">
      <alignment horizontal="right" readingOrder="0" shrinkToFit="0" vertical="center" wrapText="1"/>
    </xf>
    <xf borderId="9" fillId="0" fontId="45" numFmtId="164" xfId="0" applyAlignment="1" applyBorder="1" applyFont="1" applyNumberFormat="1">
      <alignment horizontal="right" vertical="center"/>
    </xf>
    <xf borderId="15" fillId="0" fontId="1" numFmtId="0" xfId="0" applyBorder="1" applyFont="1"/>
    <xf borderId="3" fillId="3" fontId="60" numFmtId="164" xfId="0" applyAlignment="1" applyBorder="1" applyFont="1" applyNumberFormat="1">
      <alignment horizontal="left" readingOrder="0" vertical="center"/>
    </xf>
    <xf borderId="0" fillId="3" fontId="60" numFmtId="164" xfId="0" applyAlignment="1" applyFont="1" applyNumberFormat="1">
      <alignment horizontal="left" readingOrder="0" vertical="center"/>
    </xf>
    <xf borderId="53" fillId="0" fontId="45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aycheck.pk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B1" s="1"/>
    </row>
    <row r="2">
      <c r="B2" s="1"/>
    </row>
    <row r="3">
      <c r="B3" s="2" t="s">
        <v>0</v>
      </c>
      <c r="C3" s="3"/>
      <c r="D3" s="3"/>
      <c r="E3" s="3"/>
      <c r="F3" s="2"/>
      <c r="G3" s="4" t="s">
        <v>1</v>
      </c>
      <c r="H3" s="3"/>
      <c r="I3" s="3"/>
      <c r="J3" s="3"/>
      <c r="K3" s="3"/>
      <c r="L3" s="3"/>
    </row>
    <row r="4">
      <c r="F4" s="5"/>
    </row>
    <row r="5">
      <c r="F5" s="5"/>
    </row>
    <row r="6">
      <c r="F6" s="5"/>
    </row>
    <row r="7" ht="15.75" customHeight="1">
      <c r="B7" s="6"/>
      <c r="C7" s="6"/>
      <c r="D7" s="6"/>
      <c r="E7" s="6"/>
      <c r="F7" s="7"/>
      <c r="G7" s="6"/>
      <c r="H7" s="6"/>
      <c r="I7" s="6"/>
      <c r="J7" s="6"/>
      <c r="K7" s="6"/>
      <c r="L7" s="6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8" t="s">
        <v>2</v>
      </c>
      <c r="E13" s="9" t="s">
        <v>3</v>
      </c>
      <c r="H13" s="10" t="s">
        <v>4</v>
      </c>
    </row>
    <row r="14" ht="17.25" customHeight="1"/>
    <row r="15" ht="17.25" customHeight="1">
      <c r="B15" s="8" t="s">
        <v>5</v>
      </c>
      <c r="E15" s="11" t="s">
        <v>6</v>
      </c>
      <c r="H15" s="10" t="s">
        <v>4</v>
      </c>
    </row>
    <row r="16" ht="17.25" customHeight="1"/>
    <row r="17" ht="17.25" customHeight="1">
      <c r="B17" s="8" t="s">
        <v>7</v>
      </c>
      <c r="E17" s="9" t="s">
        <v>3</v>
      </c>
      <c r="H17" s="10" t="s">
        <v>8</v>
      </c>
    </row>
    <row r="18" ht="17.25" customHeight="1"/>
    <row r="19" ht="17.25" customHeight="1">
      <c r="B19" s="8" t="s">
        <v>9</v>
      </c>
      <c r="E19" s="9" t="s">
        <v>3</v>
      </c>
      <c r="H19" s="10" t="s">
        <v>10</v>
      </c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</sheetData>
  <mergeCells count="14">
    <mergeCell ref="B15:D16"/>
    <mergeCell ref="B17:D18"/>
    <mergeCell ref="E17:G18"/>
    <mergeCell ref="H17:I18"/>
    <mergeCell ref="B19:D20"/>
    <mergeCell ref="E19:G20"/>
    <mergeCell ref="H19:I20"/>
    <mergeCell ref="B3:E7"/>
    <mergeCell ref="G3:L7"/>
    <mergeCell ref="B13:D14"/>
    <mergeCell ref="E13:G14"/>
    <mergeCell ref="H13:I14"/>
    <mergeCell ref="E15:G16"/>
    <mergeCell ref="H15:I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63"/>
    <col customWidth="1" min="2" max="8" width="15.75"/>
    <col customWidth="1" min="9" max="9" width="3.5"/>
    <col customWidth="1" min="10" max="18" width="14.63"/>
    <col customWidth="1" min="19" max="19" width="13.5"/>
    <col customWidth="1" min="20" max="20" width="18.13"/>
    <col customWidth="1" min="21" max="21" width="9.5"/>
    <col customWidth="1" min="22" max="26" width="14.63"/>
  </cols>
  <sheetData>
    <row r="1">
      <c r="A1" s="12"/>
      <c r="B1" s="13" t="s">
        <v>11</v>
      </c>
      <c r="H1" s="14" t="s">
        <v>12</v>
      </c>
      <c r="I1" s="15"/>
      <c r="J1" s="15"/>
      <c r="K1" s="15"/>
      <c r="L1" s="15"/>
      <c r="M1" s="15"/>
      <c r="N1" s="15"/>
      <c r="O1" s="16"/>
      <c r="P1" s="17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8"/>
      <c r="H2" s="19"/>
      <c r="I2" s="20"/>
      <c r="J2" s="20"/>
      <c r="K2" s="20"/>
      <c r="L2" s="20"/>
      <c r="M2" s="20"/>
      <c r="N2" s="20"/>
      <c r="O2" s="21"/>
      <c r="P2" s="17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2"/>
      <c r="B3" s="23"/>
      <c r="C3" s="24" t="s">
        <v>13</v>
      </c>
      <c r="D3" s="24" t="s">
        <v>14</v>
      </c>
      <c r="E3" s="24" t="s">
        <v>15</v>
      </c>
      <c r="F3" s="24" t="s">
        <v>16</v>
      </c>
      <c r="G3" s="25" t="s">
        <v>17</v>
      </c>
      <c r="H3" s="26" t="s">
        <v>18</v>
      </c>
      <c r="I3" s="15"/>
      <c r="J3" s="27"/>
      <c r="K3" s="28"/>
      <c r="L3" s="29" t="s">
        <v>19</v>
      </c>
      <c r="M3" s="30" t="s">
        <v>20</v>
      </c>
      <c r="N3" s="22"/>
      <c r="O3" s="31" t="s">
        <v>21</v>
      </c>
      <c r="P3" s="30"/>
      <c r="Q3" s="32"/>
      <c r="R3" s="32"/>
      <c r="S3" s="32"/>
      <c r="Y3" s="32"/>
      <c r="Z3" s="32"/>
    </row>
    <row r="4">
      <c r="A4" s="33"/>
      <c r="B4" s="34" t="s">
        <v>22</v>
      </c>
      <c r="C4" s="35">
        <v>947597.0</v>
      </c>
      <c r="D4" s="30">
        <v>2230849.0</v>
      </c>
      <c r="E4" s="30">
        <v>1961458.0</v>
      </c>
      <c r="F4" s="30">
        <v>667323.0</v>
      </c>
      <c r="G4" s="36">
        <f t="shared" ref="G4:G9" si="1">sum(C4,D4,E4,F4)</f>
        <v>5807227</v>
      </c>
      <c r="H4" s="37" t="s">
        <v>23</v>
      </c>
      <c r="J4" s="38" t="s">
        <v>24</v>
      </c>
      <c r="K4" s="39" t="s">
        <v>25</v>
      </c>
      <c r="L4" s="40"/>
      <c r="M4" s="30">
        <v>81181.0</v>
      </c>
      <c r="N4" s="22"/>
      <c r="O4" s="31">
        <v>100344.6</v>
      </c>
      <c r="P4" s="30"/>
      <c r="Q4" s="32"/>
      <c r="R4" s="32"/>
      <c r="S4" s="32"/>
      <c r="Y4" s="32"/>
      <c r="Z4" s="32"/>
    </row>
    <row r="5">
      <c r="A5" s="33"/>
      <c r="B5" s="34" t="s">
        <v>26</v>
      </c>
      <c r="C5" s="30">
        <v>1034095.0</v>
      </c>
      <c r="D5" s="30">
        <v>1698802.0</v>
      </c>
      <c r="E5" s="30">
        <v>1538641.0</v>
      </c>
      <c r="F5" s="30">
        <v>606828.0</v>
      </c>
      <c r="G5" s="41">
        <f t="shared" si="1"/>
        <v>4878366</v>
      </c>
      <c r="H5" s="42">
        <f>E9</f>
        <v>1825432</v>
      </c>
      <c r="I5" s="43"/>
      <c r="J5" s="44">
        <f>sum(C9:E9,I5)</f>
        <v>5456074</v>
      </c>
      <c r="K5" s="45">
        <v>7100000.0</v>
      </c>
      <c r="L5" s="40">
        <f t="shared" ref="L5:L7" si="2">K5/$M$4</f>
        <v>87.45888816</v>
      </c>
      <c r="M5" s="30" t="s">
        <v>27</v>
      </c>
      <c r="N5" s="22"/>
      <c r="O5" s="31" t="s">
        <v>28</v>
      </c>
      <c r="P5" s="30"/>
      <c r="Q5" s="32"/>
      <c r="R5" s="32"/>
      <c r="S5" s="32"/>
      <c r="Y5" s="32"/>
      <c r="Z5" s="32"/>
    </row>
    <row r="6">
      <c r="A6" s="33"/>
      <c r="B6" s="34" t="s">
        <v>29</v>
      </c>
      <c r="C6" s="30">
        <v>479318.0</v>
      </c>
      <c r="D6" s="30">
        <v>1868956.0</v>
      </c>
      <c r="E6" s="30">
        <v>1384475.0</v>
      </c>
      <c r="F6" s="30">
        <v>876791.0</v>
      </c>
      <c r="G6" s="41">
        <f t="shared" si="1"/>
        <v>4609540</v>
      </c>
      <c r="H6" s="46">
        <f>(E9*F16)+E9</f>
        <v>2337909.005</v>
      </c>
      <c r="I6" s="47"/>
      <c r="J6" s="48">
        <f>sum(C9:E9,I6)</f>
        <v>5456074</v>
      </c>
      <c r="K6" s="45">
        <f t="shared" ref="K6:K7" si="3">J5</f>
        <v>5456074</v>
      </c>
      <c r="L6" s="40">
        <f t="shared" si="2"/>
        <v>67.20875574</v>
      </c>
      <c r="M6" s="30">
        <v>6179526.0</v>
      </c>
      <c r="N6" s="22"/>
      <c r="O6" s="49">
        <f>'1. Sales'!H9</f>
        <v>84442.40286</v>
      </c>
      <c r="P6" s="50"/>
      <c r="Q6" s="51"/>
      <c r="R6" s="51"/>
      <c r="S6" s="51"/>
      <c r="Y6" s="51"/>
      <c r="Z6" s="51"/>
    </row>
    <row r="7">
      <c r="A7" s="33"/>
      <c r="B7" s="34" t="s">
        <v>30</v>
      </c>
      <c r="C7" s="30">
        <v>667943.0</v>
      </c>
      <c r="D7" s="30">
        <v>1984973.0</v>
      </c>
      <c r="E7" s="30">
        <v>876029.0</v>
      </c>
      <c r="F7" s="30">
        <v>1010734.0</v>
      </c>
      <c r="G7" s="52">
        <f t="shared" si="1"/>
        <v>4539679</v>
      </c>
      <c r="H7" s="53" t="s">
        <v>31</v>
      </c>
      <c r="I7" s="54"/>
      <c r="J7" s="55">
        <f>M8</f>
        <v>76.12034836</v>
      </c>
      <c r="K7" s="45">
        <f t="shared" si="3"/>
        <v>5456074</v>
      </c>
      <c r="L7" s="40">
        <f t="shared" si="2"/>
        <v>67.20875574</v>
      </c>
      <c r="M7" s="30" t="s">
        <v>32</v>
      </c>
      <c r="N7" s="22"/>
      <c r="O7" s="31" t="s">
        <v>33</v>
      </c>
      <c r="P7" s="30"/>
      <c r="Q7" s="32"/>
      <c r="R7" s="32"/>
      <c r="S7" s="32"/>
      <c r="Y7" s="32"/>
      <c r="Z7" s="32"/>
    </row>
    <row r="8">
      <c r="A8" s="33"/>
      <c r="B8" s="34" t="s">
        <v>8</v>
      </c>
      <c r="C8" s="30">
        <v>846402.0</v>
      </c>
      <c r="D8" s="30">
        <v>2527974.0</v>
      </c>
      <c r="E8" s="30">
        <v>1306572.0</v>
      </c>
      <c r="F8" s="30">
        <v>1633330.0</v>
      </c>
      <c r="G8" s="52">
        <f t="shared" si="1"/>
        <v>6314278</v>
      </c>
      <c r="H8" s="56" t="s">
        <v>34</v>
      </c>
      <c r="I8" s="15"/>
      <c r="J8" s="29" t="s">
        <v>35</v>
      </c>
      <c r="K8" s="57"/>
      <c r="L8" s="40"/>
      <c r="M8" s="52">
        <f>M6/M4</f>
        <v>76.12034836</v>
      </c>
      <c r="N8" s="22"/>
      <c r="O8" s="58">
        <f>O4*O6</f>
        <v>8473339138</v>
      </c>
      <c r="P8" s="52"/>
      <c r="Q8" s="59"/>
      <c r="R8" s="59"/>
      <c r="S8" s="59"/>
      <c r="Y8" s="59"/>
      <c r="Z8" s="59"/>
    </row>
    <row r="9">
      <c r="A9" s="60"/>
      <c r="B9" s="61" t="s">
        <v>10</v>
      </c>
      <c r="C9" s="62">
        <v>1563349.0</v>
      </c>
      <c r="D9" s="62">
        <v>2067293.0</v>
      </c>
      <c r="E9" s="62">
        <v>1825432.0</v>
      </c>
      <c r="F9" s="63">
        <v>1633330.0</v>
      </c>
      <c r="G9" s="64">
        <f t="shared" si="1"/>
        <v>7089404</v>
      </c>
      <c r="H9" s="65">
        <v>0.156</v>
      </c>
      <c r="J9" s="66">
        <f t="shared" ref="J9:J13" si="4">($J$7*$H9)+$J$7</f>
        <v>87.9951227</v>
      </c>
      <c r="K9" s="67" t="s">
        <v>36</v>
      </c>
      <c r="L9" s="68">
        <f t="shared" ref="L9:L13" si="5">J9</f>
        <v>87.9951227</v>
      </c>
      <c r="M9" s="69" t="s">
        <v>37</v>
      </c>
      <c r="N9" s="70">
        <f>J7*H11+J7</f>
        <v>88.79438636</v>
      </c>
      <c r="O9" s="71"/>
      <c r="P9" s="52"/>
      <c r="Q9" s="72"/>
      <c r="R9" s="59"/>
      <c r="S9" s="59"/>
      <c r="Y9" s="59"/>
      <c r="Z9" s="59"/>
    </row>
    <row r="10">
      <c r="A10" s="32"/>
      <c r="B10" s="73" t="s">
        <v>38</v>
      </c>
      <c r="C10" s="54"/>
      <c r="D10" s="54"/>
      <c r="E10" s="54"/>
      <c r="F10" s="54"/>
      <c r="G10" s="74"/>
      <c r="H10" s="65">
        <v>0.177</v>
      </c>
      <c r="J10" s="66">
        <f t="shared" si="4"/>
        <v>89.59365002</v>
      </c>
      <c r="K10" s="67" t="s">
        <v>36</v>
      </c>
      <c r="L10" s="68">
        <f t="shared" si="5"/>
        <v>89.59365002</v>
      </c>
      <c r="M10" s="75" t="s">
        <v>39</v>
      </c>
      <c r="N10" s="76">
        <v>0.1665</v>
      </c>
      <c r="O10" s="58"/>
      <c r="P10" s="52"/>
      <c r="Q10" s="59"/>
      <c r="R10" s="59"/>
      <c r="S10" s="59"/>
      <c r="Y10" s="77"/>
      <c r="Z10" s="77"/>
    </row>
    <row r="11">
      <c r="A11" s="33"/>
      <c r="B11" s="34" t="s">
        <v>22</v>
      </c>
      <c r="C11" s="78">
        <f t="shared" ref="C11:G11" si="6">(C5/C4)-1</f>
        <v>0.09128142027</v>
      </c>
      <c r="D11" s="78">
        <f t="shared" si="6"/>
        <v>-0.2384952993</v>
      </c>
      <c r="E11" s="78">
        <f t="shared" si="6"/>
        <v>-0.215562607</v>
      </c>
      <c r="F11" s="78">
        <f t="shared" si="6"/>
        <v>-0.09065325187</v>
      </c>
      <c r="G11" s="78">
        <f t="shared" si="6"/>
        <v>-0.1599491461</v>
      </c>
      <c r="H11" s="65">
        <f>average(H9:H10)</f>
        <v>0.1665</v>
      </c>
      <c r="J11" s="66">
        <f t="shared" si="4"/>
        <v>88.79438636</v>
      </c>
      <c r="K11" s="67" t="s">
        <v>36</v>
      </c>
      <c r="L11" s="68">
        <f t="shared" si="5"/>
        <v>88.79438636</v>
      </c>
      <c r="M11" s="79"/>
      <c r="N11" s="12"/>
      <c r="O11" s="58"/>
      <c r="P11" s="52"/>
      <c r="Q11" s="59"/>
      <c r="R11" s="59"/>
      <c r="S11" s="59"/>
      <c r="Y11" s="59"/>
      <c r="Z11" s="59"/>
    </row>
    <row r="12">
      <c r="A12" s="33"/>
      <c r="B12" s="34" t="s">
        <v>26</v>
      </c>
      <c r="C12" s="78">
        <f t="shared" ref="C12:G12" si="7">(C6/C5)-1</f>
        <v>-0.536485526</v>
      </c>
      <c r="D12" s="78">
        <f t="shared" si="7"/>
        <v>0.1001611724</v>
      </c>
      <c r="E12" s="78">
        <f t="shared" si="7"/>
        <v>-0.1001962121</v>
      </c>
      <c r="F12" s="78">
        <f t="shared" si="7"/>
        <v>0.4448756485</v>
      </c>
      <c r="G12" s="78">
        <f t="shared" si="7"/>
        <v>-0.05510574647</v>
      </c>
      <c r="H12" s="80">
        <v>0.1112</v>
      </c>
      <c r="J12" s="81">
        <f t="shared" si="4"/>
        <v>84.58493109</v>
      </c>
      <c r="K12" s="67" t="s">
        <v>36</v>
      </c>
      <c r="L12" s="67">
        <f t="shared" si="5"/>
        <v>84.58493109</v>
      </c>
      <c r="M12" s="82"/>
      <c r="N12" s="83"/>
      <c r="O12" s="58"/>
      <c r="P12" s="52"/>
      <c r="Q12" s="59"/>
      <c r="R12" s="59"/>
      <c r="S12" s="59"/>
      <c r="Y12" s="59"/>
      <c r="Z12" s="59"/>
    </row>
    <row r="13">
      <c r="A13" s="33"/>
      <c r="B13" s="34" t="s">
        <v>29</v>
      </c>
      <c r="C13" s="78">
        <f t="shared" ref="C13:G13" si="8">(C7/C6)-1</f>
        <v>0.3935278875</v>
      </c>
      <c r="D13" s="78">
        <f t="shared" si="8"/>
        <v>0.06207583271</v>
      </c>
      <c r="E13" s="78">
        <f t="shared" si="8"/>
        <v>-0.3672482349</v>
      </c>
      <c r="F13" s="78">
        <f t="shared" si="8"/>
        <v>0.1527650261</v>
      </c>
      <c r="G13" s="78">
        <f t="shared" si="8"/>
        <v>-0.01515574222</v>
      </c>
      <c r="H13" s="84">
        <v>0.1282</v>
      </c>
      <c r="J13" s="85">
        <f t="shared" si="4"/>
        <v>85.87897702</v>
      </c>
      <c r="K13" s="67" t="s">
        <v>36</v>
      </c>
      <c r="L13" s="67">
        <f t="shared" si="5"/>
        <v>85.87897702</v>
      </c>
      <c r="M13" s="86"/>
      <c r="N13" s="87"/>
      <c r="O13" s="88"/>
      <c r="P13" s="52"/>
      <c r="Q13" s="59"/>
      <c r="R13" s="59"/>
      <c r="S13" s="59"/>
      <c r="Y13" s="59"/>
      <c r="Z13" s="59"/>
    </row>
    <row r="14">
      <c r="A14" s="33"/>
      <c r="B14" s="34" t="s">
        <v>30</v>
      </c>
      <c r="C14" s="78">
        <f t="shared" ref="C14:G14" si="9">(C8/C7)-1</f>
        <v>0.2671769897</v>
      </c>
      <c r="D14" s="78">
        <f t="shared" si="9"/>
        <v>0.273555862</v>
      </c>
      <c r="E14" s="78">
        <f t="shared" si="9"/>
        <v>0.4914711728</v>
      </c>
      <c r="F14" s="78">
        <f t="shared" si="9"/>
        <v>0.6159840274</v>
      </c>
      <c r="G14" s="78">
        <f t="shared" si="9"/>
        <v>0.3909084761</v>
      </c>
      <c r="H14" s="89"/>
      <c r="I14" s="30"/>
      <c r="J14" s="30"/>
      <c r="K14" s="90"/>
      <c r="L14" s="91"/>
      <c r="M14" s="92" t="s">
        <v>40</v>
      </c>
      <c r="N14" s="93"/>
      <c r="O14" s="58"/>
      <c r="P14" s="52"/>
      <c r="Q14" s="59"/>
      <c r="R14" s="59"/>
      <c r="S14" s="59"/>
      <c r="Y14" s="59"/>
      <c r="Z14" s="59"/>
    </row>
    <row r="15">
      <c r="A15" s="33"/>
      <c r="B15" s="94" t="s">
        <v>8</v>
      </c>
      <c r="C15" s="95">
        <f t="shared" ref="C15:E15" si="10">(C9/C8)-1</f>
        <v>0.8470525826</v>
      </c>
      <c r="D15" s="95">
        <f t="shared" si="10"/>
        <v>-0.1822332825</v>
      </c>
      <c r="E15" s="95">
        <f t="shared" si="10"/>
        <v>0.3971155053</v>
      </c>
      <c r="F15" s="78"/>
      <c r="G15" s="78"/>
      <c r="H15" s="89"/>
      <c r="I15" s="96" t="s">
        <v>41</v>
      </c>
      <c r="K15" s="90"/>
      <c r="L15" s="67">
        <v>93.5</v>
      </c>
      <c r="M15" s="92" t="s">
        <v>42</v>
      </c>
      <c r="N15" s="93"/>
      <c r="O15" s="58"/>
      <c r="P15" s="52"/>
      <c r="Q15" s="59"/>
      <c r="R15" s="59"/>
      <c r="S15" s="59"/>
      <c r="Y15" s="59"/>
      <c r="Z15" s="59"/>
    </row>
    <row r="16">
      <c r="A16" s="32"/>
      <c r="B16" s="97" t="s">
        <v>43</v>
      </c>
      <c r="C16" s="98">
        <f t="shared" ref="C16:G16" si="11">Average(C11:C15)</f>
        <v>0.2125106708</v>
      </c>
      <c r="D16" s="98">
        <f t="shared" si="11"/>
        <v>0.003012857059</v>
      </c>
      <c r="E16" s="98">
        <f t="shared" si="11"/>
        <v>0.04111592481</v>
      </c>
      <c r="F16" s="98">
        <f t="shared" si="11"/>
        <v>0.2807428625</v>
      </c>
      <c r="G16" s="98">
        <f t="shared" si="11"/>
        <v>0.04017446033</v>
      </c>
      <c r="H16" s="89"/>
      <c r="I16" s="57"/>
      <c r="J16" s="99" t="s">
        <v>44</v>
      </c>
      <c r="K16" s="15"/>
      <c r="L16" s="100">
        <f>average(L4:L15)</f>
        <v>83.5803852</v>
      </c>
      <c r="M16" s="92" t="s">
        <v>45</v>
      </c>
      <c r="N16" s="93"/>
      <c r="O16" s="58"/>
      <c r="P16" s="52"/>
      <c r="Q16" s="59"/>
      <c r="R16" s="59"/>
      <c r="S16" s="59"/>
      <c r="Y16" s="59"/>
      <c r="Z16" s="59"/>
    </row>
    <row r="17">
      <c r="A17" s="32"/>
      <c r="B17" s="101" t="s">
        <v>38</v>
      </c>
      <c r="C17" s="20"/>
      <c r="D17" s="20"/>
      <c r="E17" s="20"/>
      <c r="F17" s="20"/>
      <c r="G17" s="20"/>
      <c r="H17" s="89"/>
      <c r="I17" s="57"/>
      <c r="J17" s="102" t="s">
        <v>46</v>
      </c>
      <c r="K17" s="20"/>
      <c r="L17" s="103">
        <f>AVERAGE(L9:L11)</f>
        <v>88.79438636</v>
      </c>
      <c r="M17" s="104">
        <f>N9</f>
        <v>88.79438636</v>
      </c>
      <c r="N17" s="93"/>
      <c r="O17" s="31"/>
      <c r="P17" s="30"/>
      <c r="S17" s="32"/>
      <c r="Y17" s="32"/>
      <c r="Z17" s="32"/>
    </row>
    <row r="18">
      <c r="A18" s="32"/>
      <c r="B18" s="105" t="s">
        <v>47</v>
      </c>
      <c r="C18" s="106">
        <f t="shared" ref="C18:G18" si="12">C16/2</f>
        <v>0.1062553354</v>
      </c>
      <c r="D18" s="106">
        <f t="shared" si="12"/>
        <v>0.00150642853</v>
      </c>
      <c r="E18" s="106">
        <f t="shared" si="12"/>
        <v>0.02055796241</v>
      </c>
      <c r="F18" s="106">
        <f t="shared" si="12"/>
        <v>0.1403714313</v>
      </c>
      <c r="G18" s="106">
        <f t="shared" si="12"/>
        <v>0.02008723016</v>
      </c>
      <c r="H18" s="89"/>
      <c r="I18" s="57"/>
      <c r="J18" s="37" t="s">
        <v>48</v>
      </c>
      <c r="L18" s="107">
        <v>0.1046</v>
      </c>
      <c r="M18" s="108" t="s">
        <v>49</v>
      </c>
      <c r="N18" s="20"/>
      <c r="O18" s="109"/>
      <c r="P18" s="110"/>
      <c r="S18" s="22"/>
      <c r="Y18" s="22"/>
      <c r="Z18" s="22"/>
    </row>
    <row r="19">
      <c r="A19" s="22"/>
      <c r="B19" s="82"/>
      <c r="C19" s="57"/>
      <c r="D19" s="57"/>
      <c r="E19" s="57"/>
      <c r="F19" s="57"/>
      <c r="G19" s="57"/>
      <c r="H19" s="89"/>
      <c r="I19" s="57"/>
      <c r="J19" s="111"/>
      <c r="K19" s="112" t="s">
        <v>50</v>
      </c>
      <c r="L19" s="113">
        <f>(L16*L18)+L16</f>
        <v>92.3228935</v>
      </c>
      <c r="M19" s="30" t="s">
        <v>51</v>
      </c>
      <c r="N19" s="30" t="s">
        <v>52</v>
      </c>
      <c r="O19" s="114" t="s">
        <v>53</v>
      </c>
      <c r="P19" s="30"/>
      <c r="S19" s="32"/>
      <c r="T19" s="32"/>
      <c r="U19" s="32"/>
      <c r="V19" s="32"/>
      <c r="W19" s="32"/>
      <c r="X19" s="32"/>
      <c r="Y19" s="32"/>
      <c r="Z19" s="32"/>
    </row>
    <row r="20">
      <c r="A20" s="22"/>
      <c r="B20" s="82"/>
      <c r="C20" s="57"/>
      <c r="D20" s="57"/>
      <c r="E20" s="57"/>
      <c r="F20" s="57"/>
      <c r="G20" s="57"/>
      <c r="H20" s="89"/>
      <c r="I20" s="57"/>
      <c r="J20" s="39" t="s">
        <v>46</v>
      </c>
      <c r="L20" s="115">
        <f>(L17*L18)+L17</f>
        <v>98.08227917</v>
      </c>
      <c r="M20" s="116">
        <f>M17+2.21</f>
        <v>91.00438636</v>
      </c>
      <c r="N20" s="116">
        <f>M17+0.71</f>
        <v>89.50438636</v>
      </c>
      <c r="O20" s="117">
        <f>N20</f>
        <v>89.50438636</v>
      </c>
      <c r="P20" s="116"/>
      <c r="S20" s="118"/>
      <c r="T20" s="118"/>
      <c r="U20" s="118"/>
      <c r="V20" s="118"/>
      <c r="W20" s="118"/>
      <c r="X20" s="118"/>
      <c r="Y20" s="118"/>
      <c r="Z20" s="118"/>
    </row>
    <row r="21">
      <c r="A21" s="22"/>
      <c r="B21" s="119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1"/>
      <c r="P21" s="120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119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1"/>
      <c r="P22" s="120"/>
      <c r="S22" s="22"/>
      <c r="T22" s="22"/>
      <c r="U22" s="22"/>
      <c r="V22" s="22"/>
      <c r="W22" s="22"/>
      <c r="X22" s="22"/>
      <c r="Y22" s="22"/>
      <c r="Z22" s="22"/>
    </row>
    <row r="23">
      <c r="A23" s="122"/>
      <c r="I23" s="57"/>
      <c r="S23" s="33"/>
      <c r="T23" s="33"/>
      <c r="U23" s="33"/>
      <c r="V23" s="33"/>
      <c r="W23" s="33"/>
      <c r="X23" s="33"/>
      <c r="Y23" s="33"/>
      <c r="Z23" s="33"/>
    </row>
    <row r="24">
      <c r="A24" s="122"/>
      <c r="I24" s="57"/>
      <c r="S24" s="33"/>
      <c r="T24" s="33"/>
      <c r="U24" s="33"/>
      <c r="V24" s="33"/>
      <c r="W24" s="33"/>
      <c r="X24" s="33"/>
      <c r="Y24" s="33"/>
      <c r="Z24" s="33"/>
    </row>
    <row r="25">
      <c r="A25" s="77"/>
      <c r="C25" s="123" t="s">
        <v>54</v>
      </c>
      <c r="E25" s="124" t="s">
        <v>55</v>
      </c>
      <c r="I25" s="57"/>
      <c r="S25" s="125"/>
      <c r="T25" s="125"/>
      <c r="U25" s="125"/>
      <c r="V25" s="125"/>
      <c r="W25" s="125"/>
      <c r="X25" s="125"/>
      <c r="Y25" s="125"/>
      <c r="Z25" s="125"/>
    </row>
    <row r="26">
      <c r="A26" s="77"/>
      <c r="C26" s="126"/>
      <c r="D26" s="126"/>
      <c r="E26" s="127" t="s">
        <v>56</v>
      </c>
      <c r="F26" s="127" t="s">
        <v>57</v>
      </c>
      <c r="G26" s="127" t="s">
        <v>58</v>
      </c>
      <c r="I26" s="57"/>
      <c r="S26" s="125"/>
      <c r="T26" s="125"/>
      <c r="U26" s="125"/>
      <c r="V26" s="125"/>
      <c r="W26" s="125"/>
      <c r="X26" s="125"/>
      <c r="Y26" s="125"/>
      <c r="Z26" s="125"/>
    </row>
    <row r="27">
      <c r="A27" s="77"/>
      <c r="C27" s="32"/>
      <c r="D27" s="32"/>
      <c r="E27" s="32"/>
      <c r="F27" s="32"/>
      <c r="G27" s="32"/>
      <c r="I27" s="57"/>
      <c r="S27" s="125"/>
      <c r="T27" s="125"/>
      <c r="U27" s="125"/>
      <c r="V27" s="125"/>
      <c r="W27" s="125"/>
      <c r="X27" s="125"/>
      <c r="Y27" s="125"/>
      <c r="Z27" s="125"/>
    </row>
    <row r="28">
      <c r="A28" s="128"/>
      <c r="C28" s="129" t="s">
        <v>59</v>
      </c>
      <c r="D28" s="130" t="s">
        <v>60</v>
      </c>
      <c r="E28" s="131" t="s">
        <v>61</v>
      </c>
      <c r="F28" s="132" t="s">
        <v>62</v>
      </c>
      <c r="G28" s="133" t="s">
        <v>63</v>
      </c>
      <c r="I28" s="57"/>
      <c r="S28" s="125"/>
      <c r="T28" s="125"/>
      <c r="U28" s="125"/>
      <c r="V28" s="125"/>
      <c r="W28" s="125"/>
      <c r="X28" s="125"/>
      <c r="Y28" s="125"/>
      <c r="Z28" s="125"/>
    </row>
    <row r="29">
      <c r="A29" s="128"/>
      <c r="C29" s="129" t="s">
        <v>64</v>
      </c>
      <c r="D29" s="130" t="s">
        <v>60</v>
      </c>
      <c r="E29" s="134" t="s">
        <v>65</v>
      </c>
      <c r="F29" s="135" t="s">
        <v>66</v>
      </c>
      <c r="G29" s="136" t="s">
        <v>67</v>
      </c>
      <c r="S29" s="125"/>
      <c r="T29" s="125"/>
      <c r="U29" s="125"/>
      <c r="V29" s="125"/>
      <c r="W29" s="125"/>
      <c r="X29" s="125"/>
      <c r="Y29" s="125"/>
      <c r="Z29" s="125"/>
    </row>
    <row r="30">
      <c r="A30" s="128"/>
      <c r="C30" s="129" t="s">
        <v>68</v>
      </c>
      <c r="D30" s="130" t="s">
        <v>60</v>
      </c>
      <c r="E30" s="137">
        <f>'4. Labour'!E32</f>
        <v>109.6666667</v>
      </c>
      <c r="F30" s="138">
        <v>118.0</v>
      </c>
      <c r="G30" s="139">
        <v>102.0</v>
      </c>
      <c r="S30" s="140"/>
      <c r="T30" s="140"/>
      <c r="U30" s="140"/>
      <c r="V30" s="140"/>
      <c r="W30" s="140"/>
      <c r="X30" s="140"/>
      <c r="Y30" s="140"/>
      <c r="Z30" s="140"/>
    </row>
    <row r="31">
      <c r="A31" s="128"/>
      <c r="C31" s="141" t="s">
        <v>69</v>
      </c>
      <c r="D31" s="142"/>
      <c r="E31" s="143"/>
      <c r="F31" s="144"/>
      <c r="G31" s="145"/>
      <c r="S31" s="146"/>
      <c r="T31" s="146"/>
      <c r="U31" s="146"/>
      <c r="V31" s="146"/>
      <c r="W31" s="146"/>
      <c r="X31" s="146"/>
      <c r="Y31" s="146"/>
      <c r="Z31" s="146"/>
    </row>
    <row r="32">
      <c r="A32" s="128"/>
      <c r="C32" s="93" t="s">
        <v>70</v>
      </c>
      <c r="D32" s="147" t="s">
        <v>60</v>
      </c>
      <c r="E32" s="148">
        <f>'3. RawMaterial'!H21</f>
        <v>782929.7412</v>
      </c>
      <c r="F32" s="149">
        <v>842079.0</v>
      </c>
      <c r="G32" s="150">
        <v>630074.0</v>
      </c>
      <c r="S32" s="151"/>
      <c r="T32" s="151"/>
      <c r="U32" s="151"/>
      <c r="V32" s="151"/>
      <c r="W32" s="151"/>
      <c r="X32" s="151"/>
      <c r="Y32" s="151"/>
      <c r="Z32" s="151"/>
    </row>
    <row r="33">
      <c r="A33" s="128"/>
      <c r="C33" s="141" t="s">
        <v>71</v>
      </c>
      <c r="D33" s="142"/>
      <c r="E33" s="143"/>
      <c r="F33" s="144"/>
      <c r="G33" s="145"/>
      <c r="S33" s="151"/>
      <c r="T33" s="151"/>
      <c r="U33" s="151"/>
      <c r="V33" s="151"/>
      <c r="W33" s="151"/>
      <c r="X33" s="151"/>
      <c r="Y33" s="151"/>
      <c r="Z33" s="151"/>
    </row>
    <row r="34">
      <c r="A34" s="22"/>
      <c r="C34" s="152" t="s">
        <v>72</v>
      </c>
      <c r="D34" s="153" t="s">
        <v>60</v>
      </c>
      <c r="E34" s="154">
        <f>'3. RawMaterial'!E35</f>
        <v>0.09786666667</v>
      </c>
      <c r="F34" s="155">
        <v>0.0964</v>
      </c>
      <c r="G34" s="156">
        <v>0.0941</v>
      </c>
      <c r="S34" s="151"/>
      <c r="T34" s="151"/>
      <c r="U34" s="151"/>
      <c r="V34" s="151"/>
      <c r="W34" s="151"/>
      <c r="X34" s="151"/>
      <c r="Y34" s="151"/>
      <c r="Z34" s="151"/>
    </row>
    <row r="35">
      <c r="A35" s="128"/>
      <c r="C35" s="152" t="s">
        <v>73</v>
      </c>
      <c r="D35" s="153" t="s">
        <v>60</v>
      </c>
      <c r="E35" s="157">
        <v>0.0437</v>
      </c>
      <c r="F35" s="155">
        <v>0.0435</v>
      </c>
      <c r="G35" s="156">
        <v>0.0434</v>
      </c>
      <c r="S35" s="151"/>
      <c r="T35" s="151"/>
      <c r="U35" s="151"/>
      <c r="V35" s="151"/>
      <c r="W35" s="151"/>
      <c r="X35" s="151"/>
      <c r="Y35" s="151"/>
      <c r="Z35" s="151"/>
    </row>
    <row r="36">
      <c r="A36" s="22"/>
      <c r="B36" s="158"/>
      <c r="C36" s="141" t="s">
        <v>74</v>
      </c>
      <c r="D36" s="141"/>
      <c r="E36" s="143"/>
      <c r="F36" s="144"/>
      <c r="G36" s="145"/>
      <c r="H36" s="159"/>
      <c r="S36" s="151"/>
      <c r="T36" s="151"/>
      <c r="U36" s="151"/>
      <c r="V36" s="151"/>
      <c r="W36" s="151"/>
      <c r="X36" s="151"/>
      <c r="Y36" s="151"/>
      <c r="Z36" s="151"/>
    </row>
    <row r="37">
      <c r="A37" s="22"/>
      <c r="B37" s="22"/>
      <c r="C37" s="93" t="s">
        <v>72</v>
      </c>
      <c r="D37" s="160" t="s">
        <v>60</v>
      </c>
      <c r="E37" s="148">
        <f>'1. Sales'!H9</f>
        <v>84442.40286</v>
      </c>
      <c r="F37" s="149">
        <v>81181.0</v>
      </c>
      <c r="G37" s="150">
        <v>59204.0</v>
      </c>
      <c r="H37" s="161"/>
      <c r="I37" s="162"/>
      <c r="S37" s="151"/>
      <c r="T37" s="151"/>
      <c r="U37" s="151"/>
      <c r="V37" s="151"/>
      <c r="W37" s="151"/>
      <c r="X37" s="151"/>
      <c r="Y37" s="151"/>
      <c r="Z37" s="151"/>
    </row>
    <row r="38">
      <c r="A38" s="22"/>
      <c r="B38" s="22"/>
      <c r="C38" s="93" t="s">
        <v>73</v>
      </c>
      <c r="D38" s="160" t="s">
        <v>60</v>
      </c>
      <c r="E38" s="148">
        <f>(F38*G16)+F38</f>
        <v>38063.10403</v>
      </c>
      <c r="F38" s="149">
        <v>36593.0</v>
      </c>
      <c r="G38" s="150">
        <v>28800.0</v>
      </c>
      <c r="H38" s="161"/>
      <c r="I38" s="57"/>
      <c r="J38" s="57"/>
      <c r="K38" s="57"/>
      <c r="L38" s="57"/>
      <c r="M38" s="57"/>
      <c r="N38" s="57"/>
      <c r="O38" s="163"/>
      <c r="P38" s="57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>
      <c r="A39" s="122"/>
      <c r="B39" s="158"/>
      <c r="H39" s="159"/>
      <c r="P39" s="57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>
      <c r="A40" s="22"/>
      <c r="I40" s="57"/>
      <c r="J40" s="57"/>
      <c r="K40" s="57"/>
      <c r="L40" s="57"/>
      <c r="M40" s="57"/>
      <c r="N40" s="57"/>
      <c r="O40" s="163"/>
      <c r="P40" s="57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</sheetData>
  <mergeCells count="22">
    <mergeCell ref="B1:G2"/>
    <mergeCell ref="H1:O2"/>
    <mergeCell ref="H3:J3"/>
    <mergeCell ref="H4:I4"/>
    <mergeCell ref="H5:I5"/>
    <mergeCell ref="H6:I6"/>
    <mergeCell ref="H7:I7"/>
    <mergeCell ref="I15:J15"/>
    <mergeCell ref="J16:K16"/>
    <mergeCell ref="J17:K17"/>
    <mergeCell ref="J18:K18"/>
    <mergeCell ref="M18:N18"/>
    <mergeCell ref="J20:K20"/>
    <mergeCell ref="C25:D26"/>
    <mergeCell ref="E25:G25"/>
    <mergeCell ref="H8:I8"/>
    <mergeCell ref="B10:G10"/>
    <mergeCell ref="C16:C17"/>
    <mergeCell ref="D16:D17"/>
    <mergeCell ref="E16:E17"/>
    <mergeCell ref="F16:F17"/>
    <mergeCell ref="G16:G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6.88"/>
  </cols>
  <sheetData>
    <row r="3">
      <c r="B3" s="165" t="s">
        <v>75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169" t="s">
        <v>76</v>
      </c>
      <c r="H5" s="168"/>
    </row>
    <row r="6">
      <c r="B6" s="170"/>
      <c r="D6" s="171" t="s">
        <v>77</v>
      </c>
      <c r="E6" s="171" t="s">
        <v>78</v>
      </c>
      <c r="F6" s="171" t="s">
        <v>79</v>
      </c>
      <c r="G6" s="171" t="s">
        <v>80</v>
      </c>
      <c r="H6" s="172" t="s">
        <v>81</v>
      </c>
    </row>
    <row r="7">
      <c r="B7" s="18"/>
      <c r="D7" s="173" t="s">
        <v>82</v>
      </c>
      <c r="E7" s="173" t="s">
        <v>83</v>
      </c>
      <c r="F7" s="173" t="s">
        <v>84</v>
      </c>
      <c r="G7" s="173" t="s">
        <v>85</v>
      </c>
      <c r="H7" s="174"/>
    </row>
    <row r="8">
      <c r="B8" s="175"/>
      <c r="D8" s="176"/>
      <c r="E8" s="177"/>
      <c r="F8" s="177"/>
      <c r="G8" s="177"/>
      <c r="H8" s="178"/>
    </row>
    <row r="9">
      <c r="B9" s="179" t="s">
        <v>86</v>
      </c>
      <c r="D9" s="180">
        <f>'1. Sales'!H21</f>
        <v>12355.35365</v>
      </c>
      <c r="E9" s="180">
        <f>'1. Sales'!H22</f>
        <v>30526.14998</v>
      </c>
      <c r="F9" s="180">
        <f>'1. Sales'!H23</f>
        <v>16376.6613</v>
      </c>
      <c r="G9" s="180">
        <f>'1. Sales'!H24</f>
        <v>25184.23794</v>
      </c>
      <c r="H9" s="181">
        <f>sum(D9:G9)</f>
        <v>84442.40286</v>
      </c>
    </row>
    <row r="10">
      <c r="B10" s="179" t="s">
        <v>87</v>
      </c>
      <c r="D10" s="182">
        <f t="shared" ref="D10:H10" si="1">D9/0.001</f>
        <v>12355353.65</v>
      </c>
      <c r="E10" s="182">
        <f t="shared" si="1"/>
        <v>30526149.98</v>
      </c>
      <c r="F10" s="182">
        <f t="shared" si="1"/>
        <v>16376661.3</v>
      </c>
      <c r="G10" s="182">
        <f t="shared" si="1"/>
        <v>25184237.94</v>
      </c>
      <c r="H10" s="183">
        <f t="shared" si="1"/>
        <v>84442402.86</v>
      </c>
    </row>
    <row r="11">
      <c r="B11" s="175"/>
      <c r="D11" s="176"/>
      <c r="E11" s="177"/>
      <c r="F11" s="177"/>
      <c r="G11" s="177"/>
      <c r="H11" s="178"/>
    </row>
    <row r="12">
      <c r="B12" s="179" t="s">
        <v>88</v>
      </c>
      <c r="D12" s="184"/>
      <c r="E12" s="185"/>
      <c r="F12" s="185"/>
      <c r="G12" s="185"/>
      <c r="H12" s="186"/>
    </row>
    <row r="13">
      <c r="B13" s="179" t="s">
        <v>89</v>
      </c>
      <c r="D13" s="187">
        <f>'Rough work'!M17</f>
        <v>88.79438636</v>
      </c>
      <c r="E13" s="188">
        <f>'Rough work'!M20</f>
        <v>91.00438636</v>
      </c>
      <c r="F13" s="188">
        <f>'Rough work'!N20</f>
        <v>89.50438636</v>
      </c>
      <c r="G13" s="188">
        <f>'Rough work'!O20</f>
        <v>89.50438636</v>
      </c>
      <c r="H13" s="189">
        <f>AVERAGE(D13:G13)</f>
        <v>89.70188636</v>
      </c>
    </row>
    <row r="14">
      <c r="B14" s="190"/>
      <c r="D14" s="191"/>
      <c r="E14" s="191"/>
      <c r="F14" s="191"/>
      <c r="G14" s="191"/>
      <c r="H14" s="192"/>
    </row>
    <row r="15">
      <c r="B15" s="193" t="s">
        <v>90</v>
      </c>
      <c r="D15" s="194">
        <f t="shared" ref="D15:G15" si="2">D10*D13</f>
        <v>1097086046</v>
      </c>
      <c r="E15" s="194">
        <f t="shared" si="2"/>
        <v>2778013546</v>
      </c>
      <c r="F15" s="194">
        <f t="shared" si="2"/>
        <v>1465783020</v>
      </c>
      <c r="G15" s="194">
        <f t="shared" si="2"/>
        <v>2254099763</v>
      </c>
      <c r="H15" s="195">
        <f>sum(D15:G15)</f>
        <v>7594982375</v>
      </c>
    </row>
    <row r="16">
      <c r="B16" s="196"/>
      <c r="C16" s="197"/>
      <c r="D16" s="198"/>
      <c r="E16" s="198"/>
      <c r="F16" s="198"/>
      <c r="G16" s="198"/>
      <c r="H16" s="199"/>
    </row>
    <row r="19">
      <c r="B19" s="200" t="s">
        <v>91</v>
      </c>
      <c r="C19" s="54"/>
      <c r="D19" s="54"/>
      <c r="E19" s="54"/>
      <c r="F19" s="54"/>
      <c r="G19" s="201"/>
      <c r="H19" s="202"/>
      <c r="I19" s="33" t="s">
        <v>92</v>
      </c>
    </row>
    <row r="20">
      <c r="B20" s="203" t="s">
        <v>93</v>
      </c>
      <c r="C20" s="204" t="s">
        <v>94</v>
      </c>
      <c r="D20" s="205" t="s">
        <v>95</v>
      </c>
      <c r="E20" s="205" t="s">
        <v>96</v>
      </c>
      <c r="F20" s="204" t="s">
        <v>97</v>
      </c>
      <c r="G20" s="206" t="s">
        <v>98</v>
      </c>
      <c r="H20" s="207" t="s">
        <v>99</v>
      </c>
      <c r="I20" s="208">
        <v>81181.0</v>
      </c>
    </row>
    <row r="21">
      <c r="B21" s="209" t="s">
        <v>100</v>
      </c>
      <c r="C21" s="210">
        <f>'Rough work'!C16</f>
        <v>0.2125106708</v>
      </c>
      <c r="D21" s="211">
        <f>'Rough work'!C8</f>
        <v>846402</v>
      </c>
      <c r="E21" s="212">
        <f t="shared" ref="E21:E25" si="3">(C21*D21)+D21</f>
        <v>1026271.457</v>
      </c>
      <c r="F21" s="213">
        <f>'Rough work'!$M$17</f>
        <v>88.79438636</v>
      </c>
      <c r="G21" s="214">
        <f t="shared" ref="G21:G24" si="4">E21/F21</f>
        <v>11557.84165</v>
      </c>
      <c r="H21" s="215">
        <f>I22/'1. Sales'!J24</f>
        <v>12355.35365</v>
      </c>
      <c r="I21" s="33" t="s">
        <v>101</v>
      </c>
    </row>
    <row r="22">
      <c r="B22" s="209" t="s">
        <v>14</v>
      </c>
      <c r="C22" s="210">
        <f>'Rough work'!D16</f>
        <v>0.003012857059</v>
      </c>
      <c r="D22" s="211">
        <f>'Rough work'!D8</f>
        <v>2527974</v>
      </c>
      <c r="E22" s="212">
        <f t="shared" si="3"/>
        <v>2535590.424</v>
      </c>
      <c r="F22" s="213">
        <f>'Rough work'!$M$17</f>
        <v>88.79438636</v>
      </c>
      <c r="G22" s="214">
        <f t="shared" si="4"/>
        <v>28555.75142</v>
      </c>
      <c r="H22" s="215">
        <f>I22/'1. Sales'!J25</f>
        <v>30526.14998</v>
      </c>
      <c r="I22" s="208">
        <f>(81181*'Rough work'!G16)+I20</f>
        <v>84442.40286</v>
      </c>
    </row>
    <row r="23">
      <c r="B23" s="209" t="s">
        <v>15</v>
      </c>
      <c r="C23" s="210">
        <f>'Rough work'!E16</f>
        <v>0.04111592481</v>
      </c>
      <c r="D23" s="211">
        <f>'Rough work'!E8</f>
        <v>1306572</v>
      </c>
      <c r="E23" s="212">
        <f t="shared" si="3"/>
        <v>1360292.916</v>
      </c>
      <c r="F23" s="213">
        <f>'Rough work'!$M$17</f>
        <v>88.79438636</v>
      </c>
      <c r="G23" s="214">
        <f t="shared" si="4"/>
        <v>15319.58237</v>
      </c>
      <c r="H23" s="216">
        <f>I22/'1. Sales'!J26</f>
        <v>16376.6613</v>
      </c>
      <c r="I23" s="125"/>
      <c r="J23" s="125"/>
    </row>
    <row r="24">
      <c r="B24" s="209" t="s">
        <v>16</v>
      </c>
      <c r="C24" s="210">
        <f>'Rough work'!F16</f>
        <v>0.2807428625</v>
      </c>
      <c r="D24" s="211">
        <f>'Rough work'!F8</f>
        <v>1633330</v>
      </c>
      <c r="E24" s="212">
        <f t="shared" si="3"/>
        <v>2091875.74</v>
      </c>
      <c r="F24" s="213">
        <f>'Rough work'!$M$17</f>
        <v>88.79438636</v>
      </c>
      <c r="G24" s="214">
        <f t="shared" si="4"/>
        <v>23558.64853</v>
      </c>
      <c r="H24" s="216">
        <f>I22/'1. Sales'!J27</f>
        <v>25184.23794</v>
      </c>
      <c r="I24" s="217">
        <v>1.0</v>
      </c>
      <c r="J24" s="218">
        <f>'1. Sales'!G25/'1. Sales'!G21</f>
        <v>6.834478822</v>
      </c>
    </row>
    <row r="25">
      <c r="B25" s="219" t="s">
        <v>17</v>
      </c>
      <c r="C25" s="220">
        <f>'Rough work'!G16</f>
        <v>0.04017446033</v>
      </c>
      <c r="D25" s="221">
        <f>'Rough work'!G8</f>
        <v>6314278</v>
      </c>
      <c r="E25" s="222">
        <f t="shared" si="3"/>
        <v>6567950.711</v>
      </c>
      <c r="F25" s="223"/>
      <c r="G25" s="224">
        <f>SUM(G21:G24)</f>
        <v>78991.82397</v>
      </c>
      <c r="H25" s="216">
        <f>sum(H21:H24)</f>
        <v>84442.40286</v>
      </c>
      <c r="I25" s="217">
        <v>2.0</v>
      </c>
      <c r="J25" s="225">
        <f>'1. Sales'!G25/'1. Sales'!G22</f>
        <v>2.766231671</v>
      </c>
    </row>
    <row r="26">
      <c r="A26" s="162" t="s">
        <v>102</v>
      </c>
      <c r="B26" s="226" t="s">
        <v>103</v>
      </c>
      <c r="C26" s="227"/>
      <c r="D26" s="227"/>
      <c r="E26" s="227"/>
      <c r="F26" s="227"/>
      <c r="G26" s="228"/>
      <c r="H26" s="229"/>
      <c r="I26" s="230">
        <v>3.0</v>
      </c>
      <c r="J26" s="218">
        <f>'1. Sales'!G25/'1. Sales'!G23</f>
        <v>5.156264841</v>
      </c>
    </row>
    <row r="27">
      <c r="A27" s="162" t="s">
        <v>102</v>
      </c>
      <c r="B27" s="146" t="s">
        <v>104</v>
      </c>
      <c r="G27" s="168"/>
      <c r="H27" s="146"/>
      <c r="I27" s="231">
        <v>4.0</v>
      </c>
      <c r="J27" s="232">
        <f>'1. Sales'!G25/'1. Sales'!G24</f>
        <v>3.352986224</v>
      </c>
    </row>
    <row r="28">
      <c r="A28" s="162"/>
      <c r="B28" s="233"/>
      <c r="C28" s="233"/>
      <c r="D28" s="233"/>
      <c r="E28" s="233"/>
      <c r="F28" s="233"/>
      <c r="G28" s="233"/>
      <c r="H28" s="233"/>
      <c r="I28" s="22"/>
      <c r="J28" s="22"/>
    </row>
    <row r="29">
      <c r="A29" s="162" t="s">
        <v>102</v>
      </c>
      <c r="B29" s="234" t="s">
        <v>105</v>
      </c>
      <c r="C29" s="227"/>
      <c r="D29" s="227"/>
      <c r="E29" s="227"/>
      <c r="F29" s="227"/>
      <c r="G29" s="228"/>
      <c r="H29" s="233"/>
      <c r="I29" s="22"/>
      <c r="J29" s="22"/>
    </row>
    <row r="30">
      <c r="A30" s="162" t="s">
        <v>102</v>
      </c>
      <c r="B30" s="235" t="s">
        <v>106</v>
      </c>
      <c r="C30" s="236"/>
      <c r="D30" s="236"/>
      <c r="E30" s="236"/>
      <c r="F30" s="236"/>
      <c r="G30" s="237"/>
      <c r="H30" s="233"/>
      <c r="I30" s="151"/>
      <c r="J30" s="151"/>
    </row>
    <row r="31">
      <c r="A31" s="57"/>
      <c r="B31" s="238" t="s">
        <v>107</v>
      </c>
      <c r="G31" s="168"/>
      <c r="H31" s="238"/>
      <c r="I31" s="151"/>
      <c r="J31" s="151"/>
    </row>
    <row r="32">
      <c r="A32" s="162" t="s">
        <v>102</v>
      </c>
      <c r="B32" s="239" t="s">
        <v>108</v>
      </c>
      <c r="C32" s="236"/>
      <c r="D32" s="236"/>
      <c r="E32" s="236"/>
      <c r="F32" s="236"/>
      <c r="G32" s="237"/>
      <c r="H32" s="146"/>
      <c r="I32" s="151"/>
      <c r="J32" s="151"/>
    </row>
    <row r="33">
      <c r="B33" s="235" t="s">
        <v>109</v>
      </c>
      <c r="C33" s="235"/>
      <c r="D33" s="235"/>
      <c r="E33" s="235"/>
      <c r="F33" s="235"/>
      <c r="G33" s="240"/>
      <c r="H33" s="233"/>
      <c r="I33" s="151"/>
      <c r="J33" s="151"/>
    </row>
  </sheetData>
  <mergeCells count="24">
    <mergeCell ref="B3:H4"/>
    <mergeCell ref="B5:H5"/>
    <mergeCell ref="B6:C7"/>
    <mergeCell ref="H6:H7"/>
    <mergeCell ref="B8:C8"/>
    <mergeCell ref="B9:C9"/>
    <mergeCell ref="B10:C10"/>
    <mergeCell ref="I19:J19"/>
    <mergeCell ref="I20:J20"/>
    <mergeCell ref="I21:J21"/>
    <mergeCell ref="I22:J22"/>
    <mergeCell ref="B26:G26"/>
    <mergeCell ref="B27:G27"/>
    <mergeCell ref="B29:G29"/>
    <mergeCell ref="B30:G30"/>
    <mergeCell ref="B31:G31"/>
    <mergeCell ref="B32:G32"/>
    <mergeCell ref="B11:C11"/>
    <mergeCell ref="B12:C12"/>
    <mergeCell ref="B13:C13"/>
    <mergeCell ref="B14:C14"/>
    <mergeCell ref="B15:C15"/>
    <mergeCell ref="B16:C16"/>
    <mergeCell ref="B19:G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6.38"/>
  </cols>
  <sheetData>
    <row r="3">
      <c r="B3" s="165" t="s">
        <v>110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169" t="s">
        <v>76</v>
      </c>
      <c r="H5" s="168"/>
    </row>
    <row r="6">
      <c r="B6" s="170"/>
      <c r="D6" s="171" t="s">
        <v>77</v>
      </c>
      <c r="E6" s="171" t="s">
        <v>78</v>
      </c>
      <c r="F6" s="171" t="s">
        <v>79</v>
      </c>
      <c r="G6" s="171" t="s">
        <v>80</v>
      </c>
      <c r="H6" s="172" t="s">
        <v>81</v>
      </c>
    </row>
    <row r="7">
      <c r="B7" s="18"/>
      <c r="D7" s="173" t="s">
        <v>82</v>
      </c>
      <c r="E7" s="173" t="s">
        <v>83</v>
      </c>
      <c r="F7" s="173" t="s">
        <v>84</v>
      </c>
      <c r="G7" s="173" t="s">
        <v>85</v>
      </c>
      <c r="H7" s="174"/>
    </row>
    <row r="8">
      <c r="B8" s="175"/>
      <c r="D8" s="176"/>
      <c r="E8" s="177"/>
      <c r="F8" s="177"/>
      <c r="G8" s="177"/>
      <c r="H8" s="178"/>
    </row>
    <row r="9">
      <c r="B9" s="179" t="s">
        <v>111</v>
      </c>
      <c r="D9" s="241">
        <f>'1. Sales'!D9</f>
        <v>12355.35365</v>
      </c>
      <c r="E9" s="241">
        <f>'1. Sales'!E9</f>
        <v>30526.14998</v>
      </c>
      <c r="F9" s="241">
        <f>'1. Sales'!F9</f>
        <v>16376.6613</v>
      </c>
      <c r="G9" s="241">
        <f>'1. Sales'!G9</f>
        <v>25184.23794</v>
      </c>
      <c r="H9" s="242">
        <f>'1. Sales'!H9</f>
        <v>84442.40286</v>
      </c>
    </row>
    <row r="10">
      <c r="B10" s="179" t="s">
        <v>112</v>
      </c>
      <c r="D10" s="243">
        <f>'2. Production'!D33</f>
        <v>3052.614998</v>
      </c>
      <c r="E10" s="243">
        <f>'2. Production'!D34</f>
        <v>1637.66613</v>
      </c>
      <c r="F10" s="243">
        <f>'2. Production'!D35</f>
        <v>1637.66613</v>
      </c>
      <c r="G10" s="243">
        <f>'2. Production'!D36</f>
        <v>1235.535365</v>
      </c>
      <c r="H10" s="244">
        <f>'2. Production'!D37</f>
        <v>1235.535365</v>
      </c>
    </row>
    <row r="11">
      <c r="B11" s="245" t="s">
        <v>113</v>
      </c>
      <c r="D11" s="246"/>
      <c r="E11" s="247"/>
      <c r="F11" s="247"/>
      <c r="G11" s="247"/>
      <c r="H11" s="248"/>
    </row>
    <row r="12">
      <c r="B12" s="179" t="s">
        <v>114</v>
      </c>
      <c r="D12" s="249">
        <f t="shared" ref="D12:H12" si="1">sum(D9:D10)</f>
        <v>15407.96865</v>
      </c>
      <c r="E12" s="249">
        <f t="shared" si="1"/>
        <v>32163.81611</v>
      </c>
      <c r="F12" s="249">
        <f t="shared" si="1"/>
        <v>18014.32743</v>
      </c>
      <c r="G12" s="249">
        <f t="shared" si="1"/>
        <v>26419.7733</v>
      </c>
      <c r="H12" s="250">
        <f t="shared" si="1"/>
        <v>85677.93823</v>
      </c>
    </row>
    <row r="13">
      <c r="B13" s="179" t="s">
        <v>115</v>
      </c>
      <c r="D13" s="243">
        <f>'2. Production'!E33</f>
        <v>1235.535365</v>
      </c>
      <c r="E13" s="243">
        <f>'2. Production'!E34</f>
        <v>3052.614998</v>
      </c>
      <c r="F13" s="243">
        <f>'2. Production'!E35</f>
        <v>1637.66613</v>
      </c>
      <c r="G13" s="243">
        <f>'2. Production'!E36</f>
        <v>2518.423794</v>
      </c>
      <c r="H13" s="244">
        <f>'2. Production'!E37</f>
        <v>8444.240286</v>
      </c>
    </row>
    <row r="14">
      <c r="B14" s="245" t="s">
        <v>116</v>
      </c>
      <c r="D14" s="251"/>
      <c r="E14" s="252"/>
      <c r="F14" s="252"/>
      <c r="G14" s="252"/>
      <c r="H14" s="253"/>
    </row>
    <row r="15">
      <c r="B15" s="254" t="s">
        <v>117</v>
      </c>
      <c r="D15" s="255">
        <f t="shared" ref="D15:G15" si="2">D12-D13</f>
        <v>14172.43328</v>
      </c>
      <c r="E15" s="255">
        <f t="shared" si="2"/>
        <v>29111.20111</v>
      </c>
      <c r="F15" s="255">
        <f t="shared" si="2"/>
        <v>16376.6613</v>
      </c>
      <c r="G15" s="255">
        <f t="shared" si="2"/>
        <v>23901.34951</v>
      </c>
      <c r="H15" s="256">
        <f>sum(D15:G15)</f>
        <v>83561.6452</v>
      </c>
    </row>
    <row r="16">
      <c r="B16" s="245"/>
      <c r="D16" s="251"/>
      <c r="E16" s="252"/>
      <c r="F16" s="252"/>
      <c r="G16" s="252"/>
      <c r="H16" s="253"/>
    </row>
    <row r="17">
      <c r="B17" s="170" t="s">
        <v>118</v>
      </c>
      <c r="D17" s="257">
        <f>'2. Production'!$D$29</f>
        <v>0.2472475723</v>
      </c>
      <c r="E17" s="257">
        <f>'2. Production'!$D$30</f>
        <v>0.7527524277</v>
      </c>
      <c r="F17" s="258"/>
      <c r="G17" s="258"/>
      <c r="H17" s="259"/>
    </row>
    <row r="18">
      <c r="B18" s="260" t="s">
        <v>119</v>
      </c>
      <c r="D18" s="261">
        <f t="shared" ref="D18:E18" si="3">($H$15*D17)</f>
        <v>20660.41392</v>
      </c>
      <c r="E18" s="261">
        <f t="shared" si="3"/>
        <v>62901.23128</v>
      </c>
      <c r="F18" s="262">
        <v>0.0</v>
      </c>
      <c r="G18" s="262">
        <v>0.0</v>
      </c>
      <c r="H18" s="263">
        <f>sum(D18:E18)</f>
        <v>83561.6452</v>
      </c>
    </row>
    <row r="19">
      <c r="B19" s="264" t="s">
        <v>120</v>
      </c>
      <c r="D19" s="6"/>
      <c r="E19" s="6"/>
      <c r="F19" s="265"/>
      <c r="G19" s="265"/>
      <c r="H19" s="266"/>
    </row>
    <row r="20">
      <c r="B20" s="267"/>
      <c r="C20" s="197"/>
      <c r="D20" s="198"/>
      <c r="E20" s="198"/>
      <c r="F20" s="198"/>
      <c r="G20" s="198"/>
      <c r="H20" s="199"/>
    </row>
    <row r="22">
      <c r="B22" s="200" t="s">
        <v>121</v>
      </c>
      <c r="C22" s="54"/>
      <c r="D22" s="54"/>
      <c r="E22" s="54"/>
      <c r="F22" s="54"/>
      <c r="G22" s="201"/>
    </row>
    <row r="23">
      <c r="B23" s="268"/>
      <c r="C23" s="269" t="s">
        <v>122</v>
      </c>
      <c r="D23" s="269" t="s">
        <v>8</v>
      </c>
      <c r="E23" s="269" t="s">
        <v>30</v>
      </c>
      <c r="F23" s="270" t="s">
        <v>29</v>
      </c>
      <c r="G23" s="271" t="s">
        <v>26</v>
      </c>
    </row>
    <row r="24">
      <c r="B24" s="272" t="s">
        <v>123</v>
      </c>
      <c r="C24" s="273" t="s">
        <v>100</v>
      </c>
      <c r="D24" s="274">
        <v>22107.0</v>
      </c>
      <c r="E24" s="274">
        <v>16615.0</v>
      </c>
      <c r="F24" s="274">
        <v>15025.0</v>
      </c>
      <c r="G24" s="275">
        <v>21290.0</v>
      </c>
    </row>
    <row r="25">
      <c r="B25" s="276"/>
      <c r="C25" s="273" t="s">
        <v>14</v>
      </c>
      <c r="D25" s="274">
        <f>81181-D24</f>
        <v>59074</v>
      </c>
      <c r="E25" s="277">
        <f>59204-E24</f>
        <v>42589</v>
      </c>
      <c r="F25" s="274">
        <f>74585-F24</f>
        <v>59560</v>
      </c>
      <c r="G25" s="275">
        <f>90756-G24</f>
        <v>69466</v>
      </c>
    </row>
    <row r="26">
      <c r="B26" s="276"/>
      <c r="C26" s="278" t="s">
        <v>17</v>
      </c>
      <c r="D26" s="279">
        <f t="shared" ref="D26:G26" si="4">sum(D24:D25)</f>
        <v>81181</v>
      </c>
      <c r="E26" s="279">
        <f t="shared" si="4"/>
        <v>59204</v>
      </c>
      <c r="F26" s="279">
        <f t="shared" si="4"/>
        <v>74585</v>
      </c>
      <c r="G26" s="280">
        <f t="shared" si="4"/>
        <v>90756</v>
      </c>
    </row>
    <row r="27">
      <c r="B27" s="281" t="s">
        <v>124</v>
      </c>
      <c r="C27" s="273" t="s">
        <v>100</v>
      </c>
      <c r="D27" s="282">
        <f t="shared" ref="D27:G27" si="5">(D24/D26)</f>
        <v>0.2723174142</v>
      </c>
      <c r="E27" s="282">
        <f t="shared" si="5"/>
        <v>0.2806398216</v>
      </c>
      <c r="F27" s="282">
        <f t="shared" si="5"/>
        <v>0.2014480123</v>
      </c>
      <c r="G27" s="283">
        <f t="shared" si="5"/>
        <v>0.2345850412</v>
      </c>
    </row>
    <row r="28">
      <c r="B28" s="276"/>
      <c r="C28" s="284" t="s">
        <v>14</v>
      </c>
      <c r="D28" s="285">
        <f t="shared" ref="D28:G28" si="6">D25/D26</f>
        <v>0.7276825858</v>
      </c>
      <c r="E28" s="285">
        <f t="shared" si="6"/>
        <v>0.7193601784</v>
      </c>
      <c r="F28" s="285">
        <f t="shared" si="6"/>
        <v>0.7985519877</v>
      </c>
      <c r="G28" s="286">
        <f t="shared" si="6"/>
        <v>0.7654149588</v>
      </c>
    </row>
    <row r="29">
      <c r="B29" s="287" t="s">
        <v>125</v>
      </c>
      <c r="C29" s="288" t="s">
        <v>100</v>
      </c>
      <c r="D29" s="289">
        <f t="shared" ref="D29:D30" si="7">AVERAGE(D27:G27)</f>
        <v>0.2472475723</v>
      </c>
      <c r="E29" s="290" t="s">
        <v>126</v>
      </c>
      <c r="G29" s="168"/>
    </row>
    <row r="30">
      <c r="B30" s="291"/>
      <c r="C30" s="292" t="s">
        <v>14</v>
      </c>
      <c r="D30" s="293">
        <f t="shared" si="7"/>
        <v>0.7527524277</v>
      </c>
      <c r="E30" s="20"/>
      <c r="F30" s="20"/>
      <c r="G30" s="21"/>
    </row>
    <row r="32">
      <c r="A32" s="57"/>
      <c r="B32" s="294" t="s">
        <v>127</v>
      </c>
      <c r="C32" s="203" t="s">
        <v>93</v>
      </c>
      <c r="D32" s="295" t="s">
        <v>128</v>
      </c>
      <c r="E32" s="296" t="s">
        <v>129</v>
      </c>
      <c r="F32" s="57"/>
      <c r="G32" s="57"/>
    </row>
    <row r="33">
      <c r="A33" s="57"/>
      <c r="B33" s="297"/>
      <c r="C33" s="209" t="s">
        <v>100</v>
      </c>
      <c r="D33" s="298">
        <f>'1. Sales'!H22*10%</f>
        <v>3052.614998</v>
      </c>
      <c r="E33" s="299">
        <f>10%*'1. Sales'!H21</f>
        <v>1235.535365</v>
      </c>
      <c r="F33" s="57"/>
      <c r="G33" s="57"/>
    </row>
    <row r="34">
      <c r="A34" s="57"/>
      <c r="B34" s="297"/>
      <c r="C34" s="209" t="s">
        <v>14</v>
      </c>
      <c r="D34" s="298">
        <f>'1. Sales'!H23*10%</f>
        <v>1637.66613</v>
      </c>
      <c r="E34" s="299">
        <f>10%*'1. Sales'!H22</f>
        <v>3052.614998</v>
      </c>
      <c r="F34" s="57"/>
      <c r="G34" s="57"/>
    </row>
    <row r="35">
      <c r="A35" s="57"/>
      <c r="B35" s="297"/>
      <c r="C35" s="209" t="s">
        <v>15</v>
      </c>
      <c r="D35" s="298">
        <f>'1. Sales'!H23*10%</f>
        <v>1637.66613</v>
      </c>
      <c r="E35" s="299">
        <f>10%*'1. Sales'!H23</f>
        <v>1637.66613</v>
      </c>
      <c r="F35" s="57"/>
      <c r="G35" s="57"/>
    </row>
    <row r="36">
      <c r="A36" s="57"/>
      <c r="B36" s="297"/>
      <c r="C36" s="209" t="s">
        <v>16</v>
      </c>
      <c r="D36" s="298">
        <f>'1. Sales'!H21*10%</f>
        <v>1235.535365</v>
      </c>
      <c r="E36" s="299">
        <f>10%*'1. Sales'!H24</f>
        <v>2518.423794</v>
      </c>
      <c r="F36" s="57"/>
      <c r="G36" s="57"/>
    </row>
    <row r="37">
      <c r="A37" s="57"/>
      <c r="B37" s="300"/>
      <c r="C37" s="219" t="s">
        <v>17</v>
      </c>
      <c r="D37" s="301">
        <f>'1. Sales'!H21*10%</f>
        <v>1235.535365</v>
      </c>
      <c r="E37" s="302">
        <f>10%*'1. Sales'!H25</f>
        <v>8444.240286</v>
      </c>
      <c r="F37" s="57"/>
      <c r="G37" s="57"/>
    </row>
    <row r="38">
      <c r="A38" s="57"/>
      <c r="B38" s="57"/>
      <c r="C38" s="57"/>
      <c r="D38" s="57"/>
      <c r="E38" s="57"/>
      <c r="F38" s="57"/>
      <c r="G38" s="57"/>
    </row>
    <row r="39">
      <c r="A39" s="57"/>
      <c r="B39" s="57"/>
      <c r="C39" s="57"/>
      <c r="D39" s="57"/>
      <c r="E39" s="57"/>
      <c r="F39" s="57"/>
      <c r="G39" s="57"/>
    </row>
    <row r="40">
      <c r="A40" s="30"/>
      <c r="B40" s="303" t="s">
        <v>130</v>
      </c>
      <c r="C40" s="304"/>
      <c r="D40" s="304"/>
      <c r="E40" s="304"/>
      <c r="F40" s="304"/>
      <c r="G40" s="305"/>
    </row>
    <row r="41">
      <c r="A41" s="162" t="s">
        <v>102</v>
      </c>
      <c r="B41" s="306" t="s">
        <v>131</v>
      </c>
      <c r="C41" s="227"/>
      <c r="D41" s="227"/>
      <c r="E41" s="227"/>
      <c r="F41" s="227"/>
      <c r="G41" s="57"/>
    </row>
    <row r="42">
      <c r="A42" s="162" t="s">
        <v>102</v>
      </c>
      <c r="B42" s="307" t="s">
        <v>132</v>
      </c>
      <c r="C42" s="227"/>
      <c r="D42" s="227"/>
      <c r="E42" s="227"/>
      <c r="F42" s="227"/>
      <c r="G42" s="228"/>
    </row>
    <row r="43">
      <c r="A43" s="57"/>
      <c r="B43" s="308" t="s">
        <v>133</v>
      </c>
      <c r="C43" s="236"/>
      <c r="D43" s="236"/>
      <c r="E43" s="236"/>
      <c r="F43" s="236"/>
      <c r="G43" s="237"/>
    </row>
    <row r="44">
      <c r="A44" s="162" t="s">
        <v>102</v>
      </c>
      <c r="B44" s="308" t="s">
        <v>134</v>
      </c>
      <c r="C44" s="308"/>
      <c r="D44" s="309"/>
      <c r="E44" s="310">
        <f>'1. Sales'!H9</f>
        <v>84442.40286</v>
      </c>
      <c r="F44" s="308"/>
      <c r="G44" s="308"/>
    </row>
    <row r="45">
      <c r="A45" s="162" t="s">
        <v>102</v>
      </c>
      <c r="B45" s="311" t="s">
        <v>135</v>
      </c>
      <c r="C45" s="236"/>
      <c r="D45" s="236"/>
      <c r="E45" s="236"/>
      <c r="F45" s="236"/>
      <c r="G45" s="237"/>
    </row>
    <row r="46">
      <c r="A46" s="162" t="s">
        <v>102</v>
      </c>
      <c r="B46" s="311" t="s">
        <v>136</v>
      </c>
      <c r="C46" s="236"/>
      <c r="D46" s="236"/>
      <c r="E46" s="236"/>
      <c r="F46" s="236"/>
      <c r="G46" s="237"/>
    </row>
    <row r="47">
      <c r="A47" s="57"/>
      <c r="B47" s="312" t="s">
        <v>137</v>
      </c>
      <c r="C47" s="3"/>
      <c r="D47" s="3"/>
      <c r="E47" s="3"/>
      <c r="F47" s="3"/>
      <c r="G47" s="313"/>
    </row>
    <row r="48">
      <c r="A48" s="162" t="s">
        <v>102</v>
      </c>
      <c r="B48" s="312" t="s">
        <v>138</v>
      </c>
      <c r="C48" s="3"/>
      <c r="D48" s="3"/>
      <c r="E48" s="3"/>
      <c r="F48" s="3"/>
      <c r="G48" s="313"/>
    </row>
  </sheetData>
  <mergeCells count="34">
    <mergeCell ref="B3:H4"/>
    <mergeCell ref="B5:H5"/>
    <mergeCell ref="B6:C7"/>
    <mergeCell ref="H6:H7"/>
    <mergeCell ref="B8:C8"/>
    <mergeCell ref="B9:C9"/>
    <mergeCell ref="B10:C10"/>
    <mergeCell ref="B18:C18"/>
    <mergeCell ref="D18:D19"/>
    <mergeCell ref="E18:E19"/>
    <mergeCell ref="H18:H19"/>
    <mergeCell ref="B19:C19"/>
    <mergeCell ref="B22:G22"/>
    <mergeCell ref="B11:C11"/>
    <mergeCell ref="B12:C12"/>
    <mergeCell ref="B13:C13"/>
    <mergeCell ref="B14:C14"/>
    <mergeCell ref="B15:C15"/>
    <mergeCell ref="B16:C16"/>
    <mergeCell ref="B17:C17"/>
    <mergeCell ref="B32:B37"/>
    <mergeCell ref="B42:G42"/>
    <mergeCell ref="B43:G43"/>
    <mergeCell ref="B45:G45"/>
    <mergeCell ref="B46:G46"/>
    <mergeCell ref="B47:G47"/>
    <mergeCell ref="B48:G48"/>
    <mergeCell ref="B20:C20"/>
    <mergeCell ref="B24:B26"/>
    <mergeCell ref="B27:B28"/>
    <mergeCell ref="B29:B30"/>
    <mergeCell ref="E29:G30"/>
    <mergeCell ref="B40:G40"/>
    <mergeCell ref="B41:F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8" width="17.38"/>
  </cols>
  <sheetData>
    <row r="3">
      <c r="B3" s="165" t="s">
        <v>139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169" t="s">
        <v>140</v>
      </c>
      <c r="H5" s="168"/>
    </row>
    <row r="6">
      <c r="B6" s="170"/>
      <c r="D6" s="171" t="s">
        <v>77</v>
      </c>
      <c r="E6" s="171" t="s">
        <v>78</v>
      </c>
      <c r="F6" s="171" t="s">
        <v>79</v>
      </c>
      <c r="G6" s="171" t="s">
        <v>80</v>
      </c>
      <c r="H6" s="172" t="s">
        <v>81</v>
      </c>
    </row>
    <row r="7">
      <c r="B7" s="18"/>
      <c r="D7" s="173" t="s">
        <v>82</v>
      </c>
      <c r="E7" s="173" t="s">
        <v>83</v>
      </c>
      <c r="F7" s="173" t="s">
        <v>84</v>
      </c>
      <c r="G7" s="173" t="s">
        <v>85</v>
      </c>
      <c r="H7" s="174"/>
    </row>
    <row r="8">
      <c r="B8" s="175"/>
      <c r="D8" s="176"/>
      <c r="E8" s="177"/>
      <c r="F8" s="177"/>
      <c r="G8" s="177"/>
      <c r="H8" s="178"/>
    </row>
    <row r="9">
      <c r="B9" s="254" t="s">
        <v>141</v>
      </c>
      <c r="D9" s="314">
        <f>'2. Production'!D15</f>
        <v>14172.43328</v>
      </c>
      <c r="E9" s="314">
        <f>'2. Production'!E15</f>
        <v>29111.20111</v>
      </c>
      <c r="F9" s="314">
        <f>'2. Production'!F15</f>
        <v>16376.6613</v>
      </c>
      <c r="G9" s="314">
        <f>'2. Production'!G15</f>
        <v>23901.34951</v>
      </c>
      <c r="H9" s="315">
        <f>'2. Production'!H15</f>
        <v>83561.6452</v>
      </c>
    </row>
    <row r="10">
      <c r="B10" s="316" t="s">
        <v>142</v>
      </c>
      <c r="D10" s="257">
        <f>'3. RawMaterial'!$E$35</f>
        <v>0.09786666667</v>
      </c>
      <c r="E10" s="257">
        <f>'3. RawMaterial'!$E$35</f>
        <v>0.09786666667</v>
      </c>
      <c r="F10" s="257">
        <f>'3. RawMaterial'!$E$35</f>
        <v>0.09786666667</v>
      </c>
      <c r="G10" s="257">
        <f>'3. RawMaterial'!$E$35</f>
        <v>0.09786666667</v>
      </c>
      <c r="H10" s="317">
        <f>'3. RawMaterial'!$E$35</f>
        <v>0.09786666667</v>
      </c>
    </row>
    <row r="11">
      <c r="B11" s="245" t="s">
        <v>143</v>
      </c>
      <c r="D11" s="318"/>
      <c r="E11" s="319"/>
      <c r="F11" s="319"/>
      <c r="G11" s="319"/>
      <c r="H11" s="320"/>
    </row>
    <row r="12">
      <c r="B12" s="179" t="s">
        <v>144</v>
      </c>
      <c r="D12" s="321">
        <v>100.0</v>
      </c>
      <c r="E12" s="321">
        <v>100.0</v>
      </c>
      <c r="F12" s="321">
        <v>100.0</v>
      </c>
      <c r="G12" s="321">
        <v>100.0</v>
      </c>
      <c r="H12" s="322">
        <v>100.0</v>
      </c>
    </row>
    <row r="13">
      <c r="B13" s="245" t="s">
        <v>143</v>
      </c>
      <c r="D13" s="323"/>
      <c r="E13" s="324"/>
      <c r="F13" s="324"/>
      <c r="G13" s="324"/>
      <c r="H13" s="325"/>
    </row>
    <row r="14">
      <c r="B14" s="179" t="s">
        <v>145</v>
      </c>
      <c r="D14" s="326">
        <f t="shared" ref="D14:H14" si="1">D9/D10</f>
        <v>144813.6916</v>
      </c>
      <c r="E14" s="326">
        <f t="shared" si="1"/>
        <v>297457.777</v>
      </c>
      <c r="F14" s="326">
        <f t="shared" si="1"/>
        <v>167336.4574</v>
      </c>
      <c r="G14" s="326">
        <f t="shared" si="1"/>
        <v>244223.5985</v>
      </c>
      <c r="H14" s="327">
        <f t="shared" si="1"/>
        <v>853831.5245</v>
      </c>
    </row>
    <row r="15">
      <c r="B15" s="328" t="s">
        <v>146</v>
      </c>
      <c r="H15" s="168"/>
    </row>
    <row r="16">
      <c r="B16" s="179" t="s">
        <v>112</v>
      </c>
      <c r="D16" s="258">
        <f>'3. RawMaterial'!$D40</f>
        <v>29745.7777</v>
      </c>
      <c r="E16" s="258">
        <f>'3. RawMaterial'!$D41</f>
        <v>16733.64574</v>
      </c>
      <c r="F16" s="258">
        <f>'3. RawMaterial'!D42</f>
        <v>24422.35985</v>
      </c>
      <c r="G16" s="258">
        <f>'3. RawMaterial'!D43</f>
        <v>14481.36916</v>
      </c>
      <c r="H16" s="259">
        <f>'3. RawMaterial'!D44</f>
        <v>14481.36916</v>
      </c>
    </row>
    <row r="17">
      <c r="B17" s="245" t="s">
        <v>113</v>
      </c>
      <c r="D17" s="329"/>
      <c r="E17" s="330"/>
      <c r="F17" s="330"/>
      <c r="G17" s="330"/>
      <c r="H17" s="331"/>
    </row>
    <row r="18">
      <c r="B18" s="254" t="s">
        <v>147</v>
      </c>
      <c r="D18" s="332">
        <f t="shared" ref="D18:H18" si="2">sum(D14:D16)</f>
        <v>174559.4693</v>
      </c>
      <c r="E18" s="332">
        <f t="shared" si="2"/>
        <v>314191.4227</v>
      </c>
      <c r="F18" s="332">
        <f t="shared" si="2"/>
        <v>191758.8173</v>
      </c>
      <c r="G18" s="332">
        <f t="shared" si="2"/>
        <v>258704.9677</v>
      </c>
      <c r="H18" s="333">
        <f t="shared" si="2"/>
        <v>868312.8937</v>
      </c>
    </row>
    <row r="19">
      <c r="B19" s="179" t="s">
        <v>148</v>
      </c>
      <c r="D19" s="334">
        <f>'3. RawMaterial'!E40</f>
        <v>14481.36916</v>
      </c>
      <c r="E19" s="335">
        <f>'3. RawMaterial'!E41</f>
        <v>29745.7777</v>
      </c>
      <c r="F19" s="335">
        <f>'3. RawMaterial'!E42</f>
        <v>16733.64574</v>
      </c>
      <c r="G19" s="335">
        <f>'3. RawMaterial'!E43</f>
        <v>24422.35985</v>
      </c>
      <c r="H19" s="336">
        <f>'3. RawMaterial'!E44</f>
        <v>85383.15245</v>
      </c>
    </row>
    <row r="20">
      <c r="B20" s="245" t="s">
        <v>116</v>
      </c>
      <c r="D20" s="337"/>
      <c r="E20" s="338"/>
      <c r="F20" s="338"/>
      <c r="G20" s="338"/>
      <c r="H20" s="339"/>
    </row>
    <row r="21">
      <c r="B21" s="179" t="s">
        <v>149</v>
      </c>
      <c r="D21" s="258">
        <f t="shared" ref="D21:H21" si="3">D18-D19</f>
        <v>160078.1001</v>
      </c>
      <c r="E21" s="258">
        <f t="shared" si="3"/>
        <v>284445.645</v>
      </c>
      <c r="F21" s="258">
        <f t="shared" si="3"/>
        <v>175025.1715</v>
      </c>
      <c r="G21" s="258">
        <f t="shared" si="3"/>
        <v>234282.6078</v>
      </c>
      <c r="H21" s="259">
        <f t="shared" si="3"/>
        <v>782929.7412</v>
      </c>
    </row>
    <row r="22">
      <c r="B22" s="18"/>
      <c r="H22" s="168"/>
    </row>
    <row r="23">
      <c r="B23" s="260" t="s">
        <v>150</v>
      </c>
      <c r="D23" s="340">
        <f>'3. RawMaterial'!$F$47</f>
        <v>5625</v>
      </c>
      <c r="E23" s="340">
        <f>'3. RawMaterial'!$F$47</f>
        <v>5625</v>
      </c>
      <c r="F23" s="340">
        <f>'3. RawMaterial'!$F$47</f>
        <v>5625</v>
      </c>
      <c r="G23" s="340">
        <f>'3. RawMaterial'!$F$47</f>
        <v>5625</v>
      </c>
      <c r="H23" s="341">
        <f>'3. RawMaterial'!$F$47</f>
        <v>5625</v>
      </c>
    </row>
    <row r="24">
      <c r="B24" s="82"/>
      <c r="D24" s="57"/>
      <c r="E24" s="57"/>
      <c r="F24" s="57"/>
      <c r="G24" s="57"/>
      <c r="H24" s="163"/>
    </row>
    <row r="25">
      <c r="B25" s="260" t="s">
        <v>151</v>
      </c>
      <c r="D25" s="342">
        <f t="shared" ref="D25:H25" si="4">D21*D23</f>
        <v>900439313.2</v>
      </c>
      <c r="E25" s="342">
        <f t="shared" si="4"/>
        <v>1600006753</v>
      </c>
      <c r="F25" s="342">
        <f t="shared" si="4"/>
        <v>984516589.8</v>
      </c>
      <c r="G25" s="342">
        <f t="shared" si="4"/>
        <v>1317839669</v>
      </c>
      <c r="H25" s="343">
        <f t="shared" si="4"/>
        <v>4403979794</v>
      </c>
    </row>
    <row r="26">
      <c r="B26" s="344"/>
      <c r="D26" s="191"/>
      <c r="E26" s="191"/>
      <c r="F26" s="191"/>
      <c r="G26" s="191"/>
      <c r="H26" s="192"/>
    </row>
    <row r="27">
      <c r="B27" s="264" t="s">
        <v>152</v>
      </c>
      <c r="D27" s="345">
        <v>1.0</v>
      </c>
      <c r="E27" s="346"/>
      <c r="F27" s="347"/>
      <c r="G27" s="347"/>
      <c r="H27" s="348"/>
    </row>
    <row r="28">
      <c r="B28" s="260" t="s">
        <v>153</v>
      </c>
      <c r="D28" s="349">
        <f>($H$25*D27)</f>
        <v>4403979794</v>
      </c>
      <c r="E28" s="350">
        <v>0.0</v>
      </c>
      <c r="F28" s="350">
        <v>0.0</v>
      </c>
      <c r="G28" s="350">
        <v>0.0</v>
      </c>
      <c r="H28" s="351">
        <f>sum(D28:E29)</f>
        <v>4403979794</v>
      </c>
    </row>
    <row r="29">
      <c r="B29" s="264" t="s">
        <v>154</v>
      </c>
      <c r="D29" s="6"/>
      <c r="E29" s="6"/>
      <c r="F29" s="6"/>
      <c r="G29" s="6"/>
      <c r="H29" s="266"/>
    </row>
    <row r="30">
      <c r="B30" s="267"/>
      <c r="C30" s="197"/>
      <c r="D30" s="197"/>
      <c r="E30" s="197"/>
      <c r="F30" s="197"/>
      <c r="G30" s="197"/>
      <c r="H30" s="352"/>
    </row>
    <row r="32">
      <c r="A32" s="57"/>
      <c r="B32" s="353" t="s">
        <v>155</v>
      </c>
      <c r="C32" s="15"/>
      <c r="D32" s="15"/>
      <c r="E32" s="57"/>
      <c r="F32" s="57"/>
      <c r="G32" s="354"/>
    </row>
    <row r="33">
      <c r="A33" s="57"/>
      <c r="B33" s="355" t="s">
        <v>156</v>
      </c>
      <c r="C33" s="355" t="s">
        <v>157</v>
      </c>
      <c r="D33" s="355" t="s">
        <v>158</v>
      </c>
      <c r="E33" s="355" t="s">
        <v>159</v>
      </c>
      <c r="F33" s="355" t="s">
        <v>160</v>
      </c>
      <c r="G33" s="355" t="s">
        <v>161</v>
      </c>
    </row>
    <row r="34">
      <c r="A34" s="57"/>
      <c r="B34" s="356">
        <v>0.0964</v>
      </c>
      <c r="C34" s="357">
        <v>0.0941</v>
      </c>
      <c r="D34" s="357">
        <v>0.0994</v>
      </c>
      <c r="E34" s="358">
        <v>0.0965</v>
      </c>
      <c r="F34" s="358">
        <v>0.1008</v>
      </c>
      <c r="G34" s="359">
        <v>0.1</v>
      </c>
    </row>
    <row r="35">
      <c r="A35" s="57"/>
      <c r="B35" s="360" t="s">
        <v>162</v>
      </c>
      <c r="C35" s="361"/>
      <c r="D35" s="361"/>
      <c r="E35" s="362">
        <f>AVERAGE(B34:G34)</f>
        <v>0.09786666667</v>
      </c>
      <c r="F35" s="363"/>
      <c r="G35" s="364"/>
    </row>
    <row r="36">
      <c r="A36" s="162"/>
      <c r="B36" s="57"/>
      <c r="C36" s="57"/>
      <c r="D36" s="57"/>
      <c r="E36" s="57"/>
      <c r="F36" s="57"/>
      <c r="G36" s="163"/>
    </row>
    <row r="37">
      <c r="A37" s="57"/>
      <c r="B37" s="200" t="s">
        <v>163</v>
      </c>
      <c r="C37" s="54"/>
      <c r="D37" s="54"/>
      <c r="E37" s="74"/>
      <c r="F37" s="33"/>
      <c r="G37" s="163"/>
    </row>
    <row r="38">
      <c r="A38" s="365"/>
      <c r="B38" s="366"/>
      <c r="C38" s="367" t="s">
        <v>164</v>
      </c>
      <c r="E38" s="368">
        <v>0.1</v>
      </c>
      <c r="F38" s="22"/>
      <c r="G38" s="163"/>
    </row>
    <row r="39">
      <c r="A39" s="365"/>
      <c r="B39" s="369" t="s">
        <v>93</v>
      </c>
      <c r="C39" s="370" t="s">
        <v>165</v>
      </c>
      <c r="D39" s="371" t="s">
        <v>166</v>
      </c>
      <c r="E39" s="372" t="s">
        <v>167</v>
      </c>
      <c r="F39" s="22"/>
      <c r="G39" s="163"/>
    </row>
    <row r="40">
      <c r="A40" s="365"/>
      <c r="B40" s="209" t="s">
        <v>100</v>
      </c>
      <c r="C40" s="373">
        <f>'3. RawMaterial'!D14</f>
        <v>144813.6916</v>
      </c>
      <c r="D40" s="374">
        <f t="shared" ref="D40:D42" si="5">C41*$E$38</f>
        <v>29745.7777</v>
      </c>
      <c r="E40" s="375">
        <f t="shared" ref="E40:E44" si="6">C40*$E$38</f>
        <v>14481.36916</v>
      </c>
      <c r="F40" s="59"/>
      <c r="G40" s="163"/>
    </row>
    <row r="41">
      <c r="A41" s="365"/>
      <c r="B41" s="209" t="s">
        <v>14</v>
      </c>
      <c r="C41" s="373">
        <f>'3. RawMaterial'!E14</f>
        <v>297457.777</v>
      </c>
      <c r="D41" s="374">
        <f t="shared" si="5"/>
        <v>16733.64574</v>
      </c>
      <c r="E41" s="375">
        <f t="shared" si="6"/>
        <v>29745.7777</v>
      </c>
      <c r="F41" s="22"/>
      <c r="G41" s="163"/>
    </row>
    <row r="42">
      <c r="A42" s="365"/>
      <c r="B42" s="209" t="s">
        <v>15</v>
      </c>
      <c r="C42" s="373">
        <f>'3. RawMaterial'!F14</f>
        <v>167336.4574</v>
      </c>
      <c r="D42" s="374">
        <f t="shared" si="5"/>
        <v>24422.35985</v>
      </c>
      <c r="E42" s="375">
        <f t="shared" si="6"/>
        <v>16733.64574</v>
      </c>
      <c r="F42" s="22"/>
      <c r="G42" s="163"/>
    </row>
    <row r="43">
      <c r="A43" s="57"/>
      <c r="B43" s="209" t="s">
        <v>16</v>
      </c>
      <c r="C43" s="373">
        <f>'3. RawMaterial'!G14</f>
        <v>244223.5985</v>
      </c>
      <c r="D43" s="374">
        <f>C40*$E$38</f>
        <v>14481.36916</v>
      </c>
      <c r="E43" s="375">
        <f t="shared" si="6"/>
        <v>24422.35985</v>
      </c>
      <c r="F43" s="22"/>
      <c r="G43" s="163"/>
    </row>
    <row r="44">
      <c r="A44" s="57"/>
      <c r="B44" s="219" t="s">
        <v>17</v>
      </c>
      <c r="C44" s="376">
        <f>'3. RawMaterial'!H14</f>
        <v>853831.5245</v>
      </c>
      <c r="D44" s="377">
        <f>C40*$E$38</f>
        <v>14481.36916</v>
      </c>
      <c r="E44" s="378">
        <f t="shared" si="6"/>
        <v>85383.15245</v>
      </c>
      <c r="F44" s="22"/>
      <c r="G44" s="163"/>
    </row>
    <row r="45">
      <c r="A45" s="57"/>
      <c r="B45" s="57"/>
      <c r="C45" s="57"/>
      <c r="D45" s="57"/>
      <c r="E45" s="57"/>
      <c r="F45" s="57"/>
      <c r="G45" s="163"/>
    </row>
    <row r="46">
      <c r="A46" s="57"/>
      <c r="B46" s="379" t="s">
        <v>168</v>
      </c>
      <c r="C46" s="380"/>
      <c r="D46" s="381"/>
      <c r="E46" s="382" t="s">
        <v>169</v>
      </c>
      <c r="F46" s="382" t="s">
        <v>170</v>
      </c>
      <c r="G46" s="163"/>
    </row>
    <row r="47">
      <c r="A47" s="57"/>
      <c r="B47" s="383" t="s">
        <v>171</v>
      </c>
      <c r="C47" s="384">
        <v>225.0</v>
      </c>
      <c r="D47" s="57"/>
      <c r="E47" s="385">
        <f>C47/C48</f>
        <v>5.625</v>
      </c>
      <c r="F47" s="386">
        <f>C47/C49</f>
        <v>5625</v>
      </c>
      <c r="G47" s="387"/>
    </row>
    <row r="48">
      <c r="A48" s="57"/>
      <c r="B48" s="388" t="s">
        <v>172</v>
      </c>
      <c r="C48" s="389">
        <v>40.0</v>
      </c>
      <c r="D48" s="57"/>
      <c r="E48" s="390"/>
      <c r="F48" s="43"/>
      <c r="G48" s="387"/>
    </row>
    <row r="49">
      <c r="B49" s="388" t="s">
        <v>173</v>
      </c>
      <c r="C49" s="391">
        <v>0.04</v>
      </c>
    </row>
    <row r="50">
      <c r="A50" s="162" t="s">
        <v>102</v>
      </c>
      <c r="B50" s="311" t="s">
        <v>174</v>
      </c>
      <c r="C50" s="236"/>
      <c r="D50" s="236"/>
      <c r="E50" s="236"/>
      <c r="F50" s="236"/>
      <c r="G50" s="237"/>
    </row>
    <row r="51">
      <c r="A51" s="162" t="s">
        <v>102</v>
      </c>
      <c r="B51" s="311" t="s">
        <v>175</v>
      </c>
      <c r="C51" s="236"/>
      <c r="D51" s="236"/>
      <c r="E51" s="236"/>
      <c r="F51" s="236"/>
      <c r="G51" s="237"/>
    </row>
  </sheetData>
  <mergeCells count="50">
    <mergeCell ref="B23:C23"/>
    <mergeCell ref="B24:C24"/>
    <mergeCell ref="B25:C25"/>
    <mergeCell ref="B26:C26"/>
    <mergeCell ref="B27:C27"/>
    <mergeCell ref="B28:C28"/>
    <mergeCell ref="D28:D29"/>
    <mergeCell ref="B29:C29"/>
    <mergeCell ref="B32:D32"/>
    <mergeCell ref="B35:D35"/>
    <mergeCell ref="B37:E37"/>
    <mergeCell ref="C38:D38"/>
    <mergeCell ref="B46:C46"/>
    <mergeCell ref="E47:E48"/>
    <mergeCell ref="B3:H4"/>
    <mergeCell ref="B5:H5"/>
    <mergeCell ref="B6:C7"/>
    <mergeCell ref="H6:H7"/>
    <mergeCell ref="B8:C8"/>
    <mergeCell ref="B9:C9"/>
    <mergeCell ref="B10:C10"/>
    <mergeCell ref="G14:G15"/>
    <mergeCell ref="H14:H15"/>
    <mergeCell ref="B11:C11"/>
    <mergeCell ref="B12:C12"/>
    <mergeCell ref="B13:C13"/>
    <mergeCell ref="B14:C14"/>
    <mergeCell ref="D14:D15"/>
    <mergeCell ref="E14:E15"/>
    <mergeCell ref="F14:F15"/>
    <mergeCell ref="D21:D22"/>
    <mergeCell ref="E21:E22"/>
    <mergeCell ref="F21:F22"/>
    <mergeCell ref="G21:G22"/>
    <mergeCell ref="H21:H22"/>
    <mergeCell ref="B15:C15"/>
    <mergeCell ref="B16:C16"/>
    <mergeCell ref="B17:C17"/>
    <mergeCell ref="B18:C18"/>
    <mergeCell ref="B19:C19"/>
    <mergeCell ref="B20:C20"/>
    <mergeCell ref="B21:C22"/>
    <mergeCell ref="E28:E29"/>
    <mergeCell ref="F28:F29"/>
    <mergeCell ref="G28:G29"/>
    <mergeCell ref="H28:H29"/>
    <mergeCell ref="B30:H30"/>
    <mergeCell ref="F47:F48"/>
    <mergeCell ref="B50:G50"/>
    <mergeCell ref="B51:G5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6.25"/>
  </cols>
  <sheetData>
    <row r="3">
      <c r="B3" s="165" t="s">
        <v>176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169" t="s">
        <v>177</v>
      </c>
      <c r="H5" s="168"/>
    </row>
    <row r="6">
      <c r="B6" s="264"/>
      <c r="D6" s="171" t="s">
        <v>77</v>
      </c>
      <c r="E6" s="171" t="s">
        <v>78</v>
      </c>
      <c r="F6" s="171" t="s">
        <v>79</v>
      </c>
      <c r="G6" s="171" t="s">
        <v>80</v>
      </c>
      <c r="H6" s="172" t="s">
        <v>81</v>
      </c>
    </row>
    <row r="7">
      <c r="B7" s="18"/>
      <c r="D7" s="173" t="s">
        <v>82</v>
      </c>
      <c r="E7" s="173" t="s">
        <v>83</v>
      </c>
      <c r="F7" s="173" t="s">
        <v>84</v>
      </c>
      <c r="G7" s="173" t="s">
        <v>85</v>
      </c>
      <c r="H7" s="174"/>
    </row>
    <row r="8">
      <c r="B8" s="254" t="s">
        <v>117</v>
      </c>
      <c r="D8" s="392">
        <f>'2. Production'!D15</f>
        <v>14172.43328</v>
      </c>
      <c r="E8" s="392">
        <f>'2. Production'!E15</f>
        <v>29111.20111</v>
      </c>
      <c r="F8" s="392">
        <f>'2. Production'!F15</f>
        <v>16376.6613</v>
      </c>
      <c r="G8" s="392">
        <f>'2. Production'!G15</f>
        <v>23901.34951</v>
      </c>
      <c r="H8" s="393">
        <f>'2. Production'!H15</f>
        <v>83561.6452</v>
      </c>
    </row>
    <row r="9">
      <c r="B9" s="260" t="s">
        <v>178</v>
      </c>
      <c r="D9" s="394">
        <v>24.0</v>
      </c>
      <c r="E9" s="394">
        <v>24.0</v>
      </c>
      <c r="F9" s="394">
        <v>24.0</v>
      </c>
      <c r="G9" s="394">
        <v>24.0</v>
      </c>
      <c r="H9" s="395">
        <v>24.0</v>
      </c>
    </row>
    <row r="10">
      <c r="B10" s="245" t="s">
        <v>143</v>
      </c>
      <c r="D10" s="318"/>
      <c r="E10" s="319"/>
      <c r="F10" s="319"/>
      <c r="G10" s="319"/>
      <c r="H10" s="320"/>
    </row>
    <row r="11">
      <c r="B11" s="260" t="s">
        <v>179</v>
      </c>
      <c r="D11" s="396">
        <f t="shared" ref="D11:H11" si="1">D8*D9</f>
        <v>340138.3988</v>
      </c>
      <c r="E11" s="396">
        <f t="shared" si="1"/>
        <v>698668.8266</v>
      </c>
      <c r="F11" s="396">
        <f t="shared" si="1"/>
        <v>393039.8711</v>
      </c>
      <c r="G11" s="396">
        <f t="shared" si="1"/>
        <v>573632.3882</v>
      </c>
      <c r="H11" s="397">
        <f t="shared" si="1"/>
        <v>2005479.485</v>
      </c>
    </row>
    <row r="12">
      <c r="B12" s="316" t="s">
        <v>180</v>
      </c>
      <c r="D12" s="398">
        <f>'4. Labour'!$D$40</f>
        <v>134.6153846</v>
      </c>
      <c r="E12" s="398">
        <f>'4. Labour'!$D$40</f>
        <v>134.6153846</v>
      </c>
      <c r="F12" s="398">
        <f>'4. Labour'!$D$40</f>
        <v>134.6153846</v>
      </c>
      <c r="G12" s="398">
        <f>'4. Labour'!$D$40</f>
        <v>134.6153846</v>
      </c>
      <c r="H12" s="399">
        <f>'4. Labour'!$D$40</f>
        <v>134.6153846</v>
      </c>
    </row>
    <row r="13">
      <c r="B13" s="245" t="s">
        <v>143</v>
      </c>
      <c r="D13" s="318"/>
      <c r="E13" s="319"/>
      <c r="F13" s="319"/>
      <c r="G13" s="319"/>
      <c r="H13" s="320"/>
    </row>
    <row r="14">
      <c r="B14" s="260" t="s">
        <v>181</v>
      </c>
      <c r="D14" s="400">
        <f t="shared" ref="D14:H14" si="2">D11*D12</f>
        <v>45787861.38</v>
      </c>
      <c r="E14" s="400">
        <f t="shared" si="2"/>
        <v>94051572.81</v>
      </c>
      <c r="F14" s="400">
        <f t="shared" si="2"/>
        <v>52909213.42</v>
      </c>
      <c r="G14" s="400">
        <f t="shared" si="2"/>
        <v>77219744.57</v>
      </c>
      <c r="H14" s="401">
        <f t="shared" si="2"/>
        <v>269968392.2</v>
      </c>
    </row>
    <row r="15">
      <c r="B15" s="344"/>
      <c r="D15" s="191"/>
      <c r="E15" s="191"/>
      <c r="F15" s="191"/>
      <c r="G15" s="191"/>
      <c r="H15" s="192"/>
    </row>
    <row r="16">
      <c r="B16" s="402" t="s">
        <v>118</v>
      </c>
      <c r="D16" s="403">
        <f>'2. Production'!$D$29</f>
        <v>0.2472475723</v>
      </c>
      <c r="E16" s="403">
        <f>'2. Production'!$D$30</f>
        <v>0.7527524277</v>
      </c>
      <c r="F16" s="57"/>
      <c r="G16" s="57"/>
      <c r="H16" s="163"/>
    </row>
    <row r="17">
      <c r="B17" s="260" t="s">
        <v>181</v>
      </c>
      <c r="D17" s="349">
        <f>(H14*D16)</f>
        <v>66749029.58</v>
      </c>
      <c r="E17" s="349">
        <f>(H14*E16)</f>
        <v>203219362.6</v>
      </c>
      <c r="F17" s="350">
        <v>0.0</v>
      </c>
      <c r="G17" s="350">
        <v>0.0</v>
      </c>
      <c r="H17" s="351">
        <f>sum(D17:E18)</f>
        <v>269968392.2</v>
      </c>
    </row>
    <row r="18">
      <c r="B18" s="264" t="s">
        <v>120</v>
      </c>
      <c r="D18" s="6"/>
      <c r="E18" s="6"/>
      <c r="F18" s="6"/>
      <c r="G18" s="6"/>
      <c r="H18" s="266"/>
    </row>
    <row r="19">
      <c r="B19" s="267"/>
      <c r="C19" s="197"/>
      <c r="D19" s="197"/>
      <c r="E19" s="197"/>
      <c r="F19" s="197"/>
      <c r="G19" s="197"/>
      <c r="H19" s="352"/>
    </row>
    <row r="22">
      <c r="A22" s="57"/>
      <c r="B22" s="200" t="s">
        <v>177</v>
      </c>
      <c r="C22" s="54"/>
      <c r="D22" s="54"/>
      <c r="E22" s="54"/>
      <c r="F22" s="54"/>
      <c r="G22" s="201"/>
    </row>
    <row r="23">
      <c r="A23" s="57"/>
      <c r="B23" s="366"/>
      <c r="C23" s="211"/>
      <c r="D23" s="211"/>
      <c r="E23" s="211"/>
      <c r="F23" s="404" t="s">
        <v>182</v>
      </c>
      <c r="G23" s="405"/>
    </row>
    <row r="24">
      <c r="A24" s="57"/>
      <c r="B24" s="406" t="s">
        <v>183</v>
      </c>
      <c r="C24" s="407" t="s">
        <v>184</v>
      </c>
      <c r="D24" s="407" t="s">
        <v>185</v>
      </c>
      <c r="E24" s="407" t="s">
        <v>186</v>
      </c>
      <c r="F24" s="6"/>
      <c r="G24" s="408"/>
    </row>
    <row r="25">
      <c r="A25" s="57"/>
      <c r="B25" s="409" t="s">
        <v>56</v>
      </c>
      <c r="C25" s="410">
        <f>'4. Labour'!H8</f>
        <v>83561.6452</v>
      </c>
      <c r="D25" s="411">
        <f t="shared" ref="D25:D31" si="3">C25/0.001</f>
        <v>83561645.2</v>
      </c>
      <c r="E25" s="412">
        <f>E32</f>
        <v>109.6666667</v>
      </c>
      <c r="F25" s="413">
        <f t="shared" ref="F25:F31" si="4">D25/E25</f>
        <v>761960.2906</v>
      </c>
      <c r="G25" s="405"/>
    </row>
    <row r="26">
      <c r="A26" s="57"/>
      <c r="B26" s="409" t="s">
        <v>57</v>
      </c>
      <c r="C26" s="414">
        <v>81180.0</v>
      </c>
      <c r="D26" s="415">
        <f t="shared" si="3"/>
        <v>81180000</v>
      </c>
      <c r="E26" s="416">
        <v>118.0</v>
      </c>
      <c r="F26" s="415">
        <f t="shared" si="4"/>
        <v>687966.1017</v>
      </c>
      <c r="G26" s="405"/>
    </row>
    <row r="27">
      <c r="A27" s="57"/>
      <c r="B27" s="409" t="s">
        <v>157</v>
      </c>
      <c r="C27" s="414">
        <v>59204.0</v>
      </c>
      <c r="D27" s="415">
        <f t="shared" si="3"/>
        <v>59204000</v>
      </c>
      <c r="E27" s="416">
        <v>102.0</v>
      </c>
      <c r="F27" s="415">
        <f t="shared" si="4"/>
        <v>580431.3725</v>
      </c>
      <c r="G27" s="405"/>
    </row>
    <row r="28">
      <c r="A28" s="57"/>
      <c r="B28" s="409" t="s">
        <v>158</v>
      </c>
      <c r="C28" s="414">
        <v>74585.0</v>
      </c>
      <c r="D28" s="415">
        <f t="shared" si="3"/>
        <v>74585000</v>
      </c>
      <c r="E28" s="417">
        <v>97.0</v>
      </c>
      <c r="F28" s="415">
        <f t="shared" si="4"/>
        <v>768917.5258</v>
      </c>
      <c r="G28" s="405"/>
    </row>
    <row r="29">
      <c r="A29" s="57"/>
      <c r="B29" s="409" t="s">
        <v>159</v>
      </c>
      <c r="C29" s="418">
        <v>90756.0</v>
      </c>
      <c r="D29" s="415">
        <f t="shared" si="3"/>
        <v>90756000</v>
      </c>
      <c r="E29" s="417">
        <v>110.0</v>
      </c>
      <c r="F29" s="415">
        <f t="shared" si="4"/>
        <v>825054.5455</v>
      </c>
      <c r="G29" s="405"/>
    </row>
    <row r="30">
      <c r="A30" s="57"/>
      <c r="B30" s="409" t="s">
        <v>160</v>
      </c>
      <c r="C30" s="418">
        <v>115754.0</v>
      </c>
      <c r="D30" s="415">
        <f t="shared" si="3"/>
        <v>115754000</v>
      </c>
      <c r="E30" s="417">
        <v>134.0</v>
      </c>
      <c r="F30" s="415">
        <f t="shared" si="4"/>
        <v>863835.8209</v>
      </c>
      <c r="G30" s="419"/>
    </row>
    <row r="31">
      <c r="A31" s="57"/>
      <c r="B31" s="420" t="s">
        <v>161</v>
      </c>
      <c r="C31" s="421">
        <v>71599.0</v>
      </c>
      <c r="D31" s="422">
        <f t="shared" si="3"/>
        <v>71599000</v>
      </c>
      <c r="E31" s="423">
        <v>97.0</v>
      </c>
      <c r="F31" s="422">
        <f t="shared" si="4"/>
        <v>738134.0206</v>
      </c>
      <c r="G31" s="424"/>
    </row>
    <row r="32">
      <c r="A32" s="57"/>
      <c r="B32" s="425" t="s">
        <v>187</v>
      </c>
      <c r="C32" s="426"/>
      <c r="D32" s="427">
        <f t="shared" ref="D32:F32" si="5">Average(D26:D31)</f>
        <v>82179666.67</v>
      </c>
      <c r="E32" s="428">
        <f t="shared" si="5"/>
        <v>109.6666667</v>
      </c>
      <c r="F32" s="429">
        <f t="shared" si="5"/>
        <v>744056.5645</v>
      </c>
      <c r="G32" s="163"/>
    </row>
    <row r="33">
      <c r="A33" s="162" t="s">
        <v>102</v>
      </c>
      <c r="B33" s="311" t="s">
        <v>188</v>
      </c>
      <c r="C33" s="236"/>
      <c r="D33" s="236"/>
      <c r="E33" s="236"/>
      <c r="F33" s="236"/>
      <c r="G33" s="237"/>
    </row>
    <row r="34">
      <c r="A34" s="57"/>
      <c r="B34" s="311" t="s">
        <v>189</v>
      </c>
      <c r="C34" s="236"/>
      <c r="D34" s="236"/>
      <c r="E34" s="236"/>
      <c r="F34" s="236"/>
      <c r="G34" s="237"/>
    </row>
    <row r="35">
      <c r="A35" s="57"/>
      <c r="B35" s="57"/>
      <c r="C35" s="57"/>
      <c r="D35" s="57"/>
      <c r="E35" s="57"/>
      <c r="F35" s="57"/>
      <c r="G35" s="395"/>
    </row>
    <row r="36">
      <c r="A36" s="57"/>
      <c r="B36" s="430" t="s">
        <v>190</v>
      </c>
      <c r="C36" s="431"/>
      <c r="D36" s="432">
        <v>28000.0</v>
      </c>
      <c r="E36" s="433" t="s">
        <v>191</v>
      </c>
      <c r="G36" s="168"/>
    </row>
    <row r="37">
      <c r="A37" s="57"/>
      <c r="B37" s="434" t="s">
        <v>192</v>
      </c>
      <c r="C37" s="435"/>
      <c r="D37" s="436">
        <v>3.0</v>
      </c>
      <c r="E37" s="437"/>
      <c r="F37" s="437"/>
      <c r="G37" s="163"/>
    </row>
    <row r="38">
      <c r="A38" s="57"/>
      <c r="B38" s="434" t="s">
        <v>193</v>
      </c>
      <c r="C38" s="435"/>
      <c r="D38" s="438">
        <f>D36*D37</f>
        <v>84000</v>
      </c>
      <c r="E38" s="437"/>
      <c r="F38" s="437"/>
      <c r="G38" s="163"/>
    </row>
    <row r="39">
      <c r="A39" s="57"/>
      <c r="B39" s="434" t="s">
        <v>194</v>
      </c>
      <c r="C39" s="435"/>
      <c r="D39" s="438">
        <f>D38/26</f>
        <v>3230.769231</v>
      </c>
      <c r="E39" s="437"/>
      <c r="F39" s="437"/>
      <c r="G39" s="163"/>
    </row>
    <row r="40">
      <c r="A40" s="57"/>
      <c r="B40" s="439" t="s">
        <v>195</v>
      </c>
      <c r="C40" s="440"/>
      <c r="D40" s="441">
        <f>D39/24</f>
        <v>134.6153846</v>
      </c>
      <c r="E40" s="57"/>
      <c r="F40" s="57"/>
      <c r="G40" s="395"/>
    </row>
  </sheetData>
  <mergeCells count="31">
    <mergeCell ref="B3:H4"/>
    <mergeCell ref="B5:H5"/>
    <mergeCell ref="B6:C7"/>
    <mergeCell ref="H6:H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D17:D18"/>
    <mergeCell ref="E17:E18"/>
    <mergeCell ref="F17:F18"/>
    <mergeCell ref="G17:G18"/>
    <mergeCell ref="H17:H18"/>
    <mergeCell ref="B19:H19"/>
    <mergeCell ref="B22:G22"/>
    <mergeCell ref="B39:C39"/>
    <mergeCell ref="B40:C40"/>
    <mergeCell ref="F23:F24"/>
    <mergeCell ref="B33:G33"/>
    <mergeCell ref="B34:G34"/>
    <mergeCell ref="B36:C36"/>
    <mergeCell ref="E36:G36"/>
    <mergeCell ref="B37:C37"/>
    <mergeCell ref="B38:C38"/>
  </mergeCells>
  <hyperlinks>
    <hyperlink r:id="rId1" ref="E3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6.88"/>
    <col customWidth="1" min="9" max="9" width="7.25"/>
    <col customWidth="1" min="11" max="11" width="14.25"/>
  </cols>
  <sheetData>
    <row r="3">
      <c r="B3" s="165" t="s">
        <v>196</v>
      </c>
      <c r="C3" s="166"/>
      <c r="D3" s="166"/>
      <c r="E3" s="166"/>
      <c r="F3" s="166"/>
      <c r="G3" s="166"/>
      <c r="H3" s="167"/>
      <c r="I3" s="57"/>
      <c r="J3" s="200" t="s">
        <v>197</v>
      </c>
      <c r="K3" s="54"/>
      <c r="L3" s="54"/>
      <c r="M3" s="54"/>
      <c r="N3" s="54"/>
      <c r="O3" s="201"/>
    </row>
    <row r="4">
      <c r="B4" s="18"/>
      <c r="H4" s="168"/>
      <c r="I4" s="162" t="s">
        <v>102</v>
      </c>
      <c r="J4" s="229" t="s">
        <v>198</v>
      </c>
      <c r="L4" s="57"/>
      <c r="M4" s="57"/>
      <c r="N4" s="57"/>
      <c r="O4" s="163"/>
    </row>
    <row r="5">
      <c r="B5" s="169" t="s">
        <v>199</v>
      </c>
      <c r="H5" s="168"/>
      <c r="I5" s="442" t="s">
        <v>102</v>
      </c>
      <c r="J5" s="443" t="s">
        <v>200</v>
      </c>
      <c r="K5" s="3"/>
      <c r="L5" s="444">
        <f>'Rough work'!G16</f>
        <v>0.04017446033</v>
      </c>
      <c r="M5" s="57"/>
      <c r="N5" s="57"/>
      <c r="O5" s="163"/>
    </row>
    <row r="6">
      <c r="B6" s="264"/>
      <c r="D6" s="171" t="s">
        <v>77</v>
      </c>
      <c r="E6" s="171" t="s">
        <v>78</v>
      </c>
      <c r="F6" s="171" t="s">
        <v>79</v>
      </c>
      <c r="G6" s="171" t="s">
        <v>80</v>
      </c>
      <c r="H6" s="172" t="s">
        <v>81</v>
      </c>
      <c r="I6" s="57"/>
      <c r="J6" s="57"/>
      <c r="K6" s="57"/>
      <c r="L6" s="57"/>
      <c r="M6" s="33"/>
      <c r="N6" s="33"/>
      <c r="O6" s="163"/>
    </row>
    <row r="7">
      <c r="B7" s="18"/>
      <c r="D7" s="445" t="s">
        <v>82</v>
      </c>
      <c r="E7" s="445" t="s">
        <v>83</v>
      </c>
      <c r="F7" s="445" t="s">
        <v>84</v>
      </c>
      <c r="G7" s="445" t="s">
        <v>85</v>
      </c>
      <c r="H7" s="21"/>
      <c r="I7" s="57"/>
      <c r="J7" s="446" t="s">
        <v>201</v>
      </c>
      <c r="K7" s="74"/>
      <c r="L7" s="33"/>
      <c r="M7" s="57"/>
      <c r="N7" s="57"/>
      <c r="O7" s="163"/>
    </row>
    <row r="8">
      <c r="B8" s="447"/>
      <c r="C8" s="227"/>
      <c r="D8" s="227"/>
      <c r="E8" s="227"/>
      <c r="F8" s="227"/>
      <c r="G8" s="227"/>
      <c r="H8" s="228"/>
      <c r="I8" s="57"/>
      <c r="J8" s="369" t="s">
        <v>93</v>
      </c>
      <c r="K8" s="448" t="s">
        <v>202</v>
      </c>
      <c r="L8" s="57"/>
      <c r="M8" s="57"/>
      <c r="N8" s="57"/>
      <c r="O8" s="163"/>
    </row>
    <row r="9">
      <c r="B9" s="449" t="s">
        <v>203</v>
      </c>
      <c r="C9" s="20"/>
      <c r="D9" s="20"/>
      <c r="E9" s="20"/>
      <c r="F9" s="20"/>
      <c r="G9" s="20"/>
      <c r="H9" s="21"/>
      <c r="I9" s="57"/>
      <c r="J9" s="209" t="s">
        <v>100</v>
      </c>
      <c r="K9" s="450">
        <f>'2. Production'!D29</f>
        <v>0.2472475723</v>
      </c>
      <c r="L9" s="57"/>
      <c r="M9" s="57"/>
      <c r="N9" s="57"/>
      <c r="O9" s="163"/>
    </row>
    <row r="10">
      <c r="B10" s="451" t="s">
        <v>204</v>
      </c>
      <c r="C10" s="54"/>
      <c r="D10" s="452">
        <f>'5. Manufacturing'!K9</f>
        <v>0.2472475723</v>
      </c>
      <c r="E10" s="453">
        <f>'5. Manufacturing'!K10</f>
        <v>0.7527524277</v>
      </c>
      <c r="F10" s="57"/>
      <c r="G10" s="57"/>
      <c r="H10" s="163"/>
      <c r="I10" s="57"/>
      <c r="J10" s="454" t="s">
        <v>14</v>
      </c>
      <c r="K10" s="455">
        <f>'2. Production'!D30</f>
        <v>0.7527524277</v>
      </c>
      <c r="L10" s="57"/>
      <c r="M10" s="57"/>
      <c r="N10" s="57"/>
      <c r="O10" s="163"/>
    </row>
    <row r="11">
      <c r="B11" s="316" t="s">
        <v>205</v>
      </c>
      <c r="D11" s="57">
        <f>H11*'5. Manufacturing'!$K$9</f>
        <v>1455264198</v>
      </c>
      <c r="E11" s="57">
        <f>H11*'5. Manufacturing'!$K$10</f>
        <v>4430594191</v>
      </c>
      <c r="F11" s="394">
        <v>0.0</v>
      </c>
      <c r="G11" s="394">
        <v>0.0</v>
      </c>
      <c r="H11" s="163">
        <f>(5658530000*'5. Manufacturing'!$L$5)+5658530000</f>
        <v>5885858389</v>
      </c>
      <c r="I11" s="162" t="s">
        <v>102</v>
      </c>
      <c r="J11" s="226" t="s">
        <v>206</v>
      </c>
      <c r="K11" s="227"/>
      <c r="L11" s="227"/>
      <c r="M11" s="33"/>
      <c r="N11" s="33"/>
      <c r="O11" s="163"/>
    </row>
    <row r="12">
      <c r="B12" s="316" t="s">
        <v>207</v>
      </c>
      <c r="D12" s="57">
        <f>H12*'5. Manufacturing'!$K$9</f>
        <v>15153338.73</v>
      </c>
      <c r="E12" s="57">
        <f>H12*'5. Manufacturing'!$K$10</f>
        <v>46134780.65</v>
      </c>
      <c r="F12" s="394">
        <v>0.0</v>
      </c>
      <c r="G12" s="394">
        <v>0.0</v>
      </c>
      <c r="H12" s="163">
        <f>(58921000*'5. Manufacturing'!$L$5)+58921000</f>
        <v>61288119.38</v>
      </c>
      <c r="I12" s="57"/>
      <c r="J12" s="22"/>
      <c r="K12" s="22"/>
      <c r="L12" s="77"/>
      <c r="M12" s="77"/>
      <c r="N12" s="77"/>
      <c r="O12" s="163"/>
    </row>
    <row r="13">
      <c r="B13" s="316" t="s">
        <v>208</v>
      </c>
      <c r="D13" s="57">
        <f>H13*'5. Manufacturing'!$K$9</f>
        <v>9093392.013</v>
      </c>
      <c r="E13" s="57">
        <f>H13*'5. Manufacturing'!$K$10</f>
        <v>27685096.56</v>
      </c>
      <c r="F13" s="394">
        <v>0.0</v>
      </c>
      <c r="G13" s="394">
        <v>0.0</v>
      </c>
      <c r="H13" s="163">
        <f>(35358000*'5. Manufacturing'!$L$5)+35358000</f>
        <v>36778488.57</v>
      </c>
      <c r="I13" s="57"/>
      <c r="J13" s="200" t="s">
        <v>209</v>
      </c>
      <c r="K13" s="54"/>
      <c r="L13" s="54"/>
      <c r="M13" s="54"/>
      <c r="N13" s="54"/>
      <c r="O13" s="201"/>
    </row>
    <row r="14">
      <c r="B14" s="316" t="s">
        <v>210</v>
      </c>
      <c r="D14" s="57">
        <f>H14*'5. Manufacturing'!$K$9</f>
        <v>22594602.5</v>
      </c>
      <c r="E14" s="57">
        <f>H14*'5. Manufacturing'!$K$10</f>
        <v>68789924.71</v>
      </c>
      <c r="F14" s="394">
        <v>0.0</v>
      </c>
      <c r="G14" s="394">
        <v>0.0</v>
      </c>
      <c r="H14" s="163">
        <f>(87855000*'5. Manufacturing'!$L$5)+87855000</f>
        <v>91384527.21</v>
      </c>
      <c r="I14" s="162" t="s">
        <v>102</v>
      </c>
      <c r="J14" s="226" t="s">
        <v>198</v>
      </c>
      <c r="K14" s="227"/>
      <c r="L14" s="227"/>
      <c r="M14" s="57"/>
      <c r="N14" s="57"/>
      <c r="O14" s="163"/>
    </row>
    <row r="15">
      <c r="B15" s="316" t="s">
        <v>211</v>
      </c>
      <c r="D15" s="57">
        <f>H15*'5. Manufacturing'!$K$9</f>
        <v>6038343.545</v>
      </c>
      <c r="E15" s="57">
        <f>H15*'5. Manufacturing'!$K$10</f>
        <v>18383912.61</v>
      </c>
      <c r="F15" s="394">
        <v>0.0</v>
      </c>
      <c r="G15" s="394">
        <v>0.0</v>
      </c>
      <c r="H15" s="163">
        <f>(23479000*'5. Manufacturing'!$L$5)+23479000</f>
        <v>24422256.15</v>
      </c>
      <c r="I15" s="442" t="s">
        <v>102</v>
      </c>
      <c r="J15" s="456" t="s">
        <v>212</v>
      </c>
      <c r="K15" s="236"/>
      <c r="L15" s="457">
        <f>'Rough work'!H11</f>
        <v>0.1665</v>
      </c>
      <c r="M15" s="57"/>
      <c r="N15" s="57"/>
      <c r="O15" s="163"/>
    </row>
    <row r="16">
      <c r="B16" s="316" t="s">
        <v>213</v>
      </c>
      <c r="D16" s="57">
        <f>H16*'5. Manufacturing'!$K$9</f>
        <v>2398723.551</v>
      </c>
      <c r="E16" s="57">
        <f>H16*'5. Manufacturing'!$K$10</f>
        <v>7302983.641</v>
      </c>
      <c r="F16" s="394">
        <v>0.0</v>
      </c>
      <c r="G16" s="394">
        <v>0.0</v>
      </c>
      <c r="H16" s="163">
        <f>(9327000*'5. Manufacturing'!$L$5)+9327000</f>
        <v>9701707.191</v>
      </c>
      <c r="I16" s="162" t="s">
        <v>102</v>
      </c>
      <c r="J16" s="311" t="s">
        <v>214</v>
      </c>
      <c r="K16" s="236"/>
      <c r="L16" s="236"/>
      <c r="M16" s="236"/>
      <c r="N16" s="236"/>
      <c r="O16" s="237"/>
    </row>
    <row r="17">
      <c r="B17" s="447"/>
      <c r="C17" s="227"/>
      <c r="D17" s="227"/>
      <c r="E17" s="227"/>
      <c r="F17" s="227"/>
      <c r="G17" s="227"/>
      <c r="H17" s="228"/>
      <c r="I17" s="162" t="s">
        <v>102</v>
      </c>
      <c r="J17" s="311" t="s">
        <v>215</v>
      </c>
      <c r="K17" s="236"/>
      <c r="L17" s="236"/>
      <c r="M17" s="236"/>
      <c r="N17" s="236"/>
      <c r="O17" s="237"/>
    </row>
    <row r="18">
      <c r="B18" s="458" t="s">
        <v>216</v>
      </c>
      <c r="C18" s="227"/>
      <c r="D18" s="459">
        <f t="shared" ref="D18:G18" si="1">sum(D11:D16)</f>
        <v>1510542598</v>
      </c>
      <c r="E18" s="459">
        <f t="shared" si="1"/>
        <v>4598890889</v>
      </c>
      <c r="F18" s="459">
        <f t="shared" si="1"/>
        <v>0</v>
      </c>
      <c r="G18" s="459">
        <f t="shared" si="1"/>
        <v>0</v>
      </c>
      <c r="H18" s="460">
        <f>SUM(H11:H16)</f>
        <v>6109433487</v>
      </c>
    </row>
    <row r="19">
      <c r="B19" s="447"/>
      <c r="C19" s="227"/>
      <c r="D19" s="227"/>
      <c r="E19" s="227"/>
      <c r="F19" s="227"/>
      <c r="G19" s="227"/>
      <c r="H19" s="228"/>
    </row>
    <row r="20">
      <c r="B20" s="449" t="s">
        <v>217</v>
      </c>
      <c r="C20" s="20"/>
      <c r="D20" s="20"/>
      <c r="E20" s="20"/>
      <c r="F20" s="20"/>
      <c r="G20" s="20"/>
      <c r="H20" s="21"/>
    </row>
    <row r="21">
      <c r="B21" s="316" t="s">
        <v>218</v>
      </c>
      <c r="D21" s="42">
        <f t="shared" ref="D21:E21" si="2">$H21/2</f>
        <v>140609326.8</v>
      </c>
      <c r="E21" s="42">
        <f t="shared" si="2"/>
        <v>140609326.8</v>
      </c>
      <c r="F21" s="461">
        <v>0.0</v>
      </c>
      <c r="G21" s="461">
        <v>0.0</v>
      </c>
      <c r="H21" s="163">
        <f>(241079000*'5. Manufacturing'!$L$15)+241079000</f>
        <v>281218653.5</v>
      </c>
    </row>
    <row r="22">
      <c r="B22" s="316" t="s">
        <v>219</v>
      </c>
      <c r="D22" s="42">
        <f t="shared" ref="D22:G22" si="3">$H22/4</f>
        <v>332744.125</v>
      </c>
      <c r="E22" s="42">
        <f t="shared" si="3"/>
        <v>332744.125</v>
      </c>
      <c r="F22" s="42">
        <f t="shared" si="3"/>
        <v>332744.125</v>
      </c>
      <c r="G22" s="42">
        <f t="shared" si="3"/>
        <v>332744.125</v>
      </c>
      <c r="H22" s="163">
        <f>(1141000*'5. Manufacturing'!$L$15)+1141000</f>
        <v>1330976.5</v>
      </c>
    </row>
    <row r="23">
      <c r="B23" s="316" t="s">
        <v>220</v>
      </c>
      <c r="D23" s="42">
        <f t="shared" ref="D23:G23" si="4">$H23/4</f>
        <v>670154.25</v>
      </c>
      <c r="E23" s="42">
        <f t="shared" si="4"/>
        <v>670154.25</v>
      </c>
      <c r="F23" s="42">
        <f t="shared" si="4"/>
        <v>670154.25</v>
      </c>
      <c r="G23" s="42">
        <f t="shared" si="4"/>
        <v>670154.25</v>
      </c>
      <c r="H23" s="163">
        <f>(2298000*'5. Manufacturing'!$L$15)+2298000</f>
        <v>2680617</v>
      </c>
    </row>
    <row r="24">
      <c r="B24" s="316" t="s">
        <v>221</v>
      </c>
      <c r="D24" s="42">
        <f t="shared" ref="D24:G24" si="5">$H24/4</f>
        <v>2845093.5</v>
      </c>
      <c r="E24" s="42">
        <f t="shared" si="5"/>
        <v>2845093.5</v>
      </c>
      <c r="F24" s="42">
        <f t="shared" si="5"/>
        <v>2845093.5</v>
      </c>
      <c r="G24" s="42">
        <f t="shared" si="5"/>
        <v>2845093.5</v>
      </c>
      <c r="H24" s="163">
        <f>(9756000*'5. Manufacturing'!$L$15)+9756000</f>
        <v>11380374</v>
      </c>
    </row>
    <row r="25">
      <c r="B25" s="316" t="s">
        <v>222</v>
      </c>
      <c r="D25" s="42">
        <f t="shared" ref="D25:G25" si="6">$H25/4</f>
        <v>1388250</v>
      </c>
      <c r="E25" s="42">
        <f t="shared" si="6"/>
        <v>1388250</v>
      </c>
      <c r="F25" s="42">
        <f t="shared" si="6"/>
        <v>1388250</v>
      </c>
      <c r="G25" s="42">
        <f t="shared" si="6"/>
        <v>1388250</v>
      </c>
      <c r="H25" s="395">
        <v>5553000.0</v>
      </c>
    </row>
    <row r="26">
      <c r="B26" s="447"/>
      <c r="C26" s="227"/>
      <c r="D26" s="227"/>
      <c r="E26" s="227"/>
      <c r="F26" s="227"/>
      <c r="G26" s="227"/>
      <c r="H26" s="228"/>
    </row>
    <row r="27">
      <c r="B27" s="462" t="s">
        <v>223</v>
      </c>
      <c r="D27" s="459">
        <f t="shared" ref="D27:G27" si="7">sum(D21:D25)</f>
        <v>145845568.6</v>
      </c>
      <c r="E27" s="459">
        <f t="shared" si="7"/>
        <v>145845568.6</v>
      </c>
      <c r="F27" s="459">
        <f t="shared" si="7"/>
        <v>5236241.875</v>
      </c>
      <c r="G27" s="459">
        <f t="shared" si="7"/>
        <v>5236241.875</v>
      </c>
      <c r="H27" s="460">
        <f>SUM(H21:H25)</f>
        <v>302163621</v>
      </c>
    </row>
    <row r="28">
      <c r="B28" s="463"/>
      <c r="C28" s="236"/>
      <c r="D28" s="236"/>
      <c r="E28" s="236"/>
      <c r="F28" s="236"/>
      <c r="G28" s="236"/>
      <c r="H28" s="237"/>
    </row>
    <row r="29">
      <c r="B29" s="464" t="s">
        <v>224</v>
      </c>
      <c r="D29" s="349">
        <f t="shared" ref="D29:G29" si="8">sum(D18,D27)</f>
        <v>1656388167</v>
      </c>
      <c r="E29" s="349">
        <f t="shared" si="8"/>
        <v>4744736458</v>
      </c>
      <c r="F29" s="349">
        <f t="shared" si="8"/>
        <v>5236241.875</v>
      </c>
      <c r="G29" s="349">
        <f t="shared" si="8"/>
        <v>5236241.875</v>
      </c>
      <c r="H29" s="351">
        <f>SUM(H18,H27)</f>
        <v>6411597108</v>
      </c>
    </row>
    <row r="30">
      <c r="B30" s="465"/>
      <c r="C30" s="227"/>
      <c r="D30" s="6"/>
      <c r="E30" s="6"/>
      <c r="F30" s="6"/>
      <c r="G30" s="6"/>
      <c r="H30" s="266"/>
    </row>
    <row r="31">
      <c r="B31" s="267"/>
      <c r="C31" s="197"/>
      <c r="D31" s="197"/>
      <c r="E31" s="197"/>
      <c r="F31" s="197"/>
      <c r="G31" s="197"/>
      <c r="H31" s="352"/>
    </row>
  </sheetData>
  <mergeCells count="42">
    <mergeCell ref="B3:H4"/>
    <mergeCell ref="J3:O3"/>
    <mergeCell ref="J4:K4"/>
    <mergeCell ref="B5:H5"/>
    <mergeCell ref="J5:K5"/>
    <mergeCell ref="H6:H7"/>
    <mergeCell ref="J7:K7"/>
    <mergeCell ref="B6:C7"/>
    <mergeCell ref="B8:H8"/>
    <mergeCell ref="B9:H9"/>
    <mergeCell ref="B10:C10"/>
    <mergeCell ref="B11:C11"/>
    <mergeCell ref="J11:L11"/>
    <mergeCell ref="B12:C12"/>
    <mergeCell ref="B13:C13"/>
    <mergeCell ref="J13:O13"/>
    <mergeCell ref="B14:C14"/>
    <mergeCell ref="J14:L14"/>
    <mergeCell ref="B15:C15"/>
    <mergeCell ref="J15:K15"/>
    <mergeCell ref="J16:O16"/>
    <mergeCell ref="J17:O17"/>
    <mergeCell ref="B16:C16"/>
    <mergeCell ref="B17:H17"/>
    <mergeCell ref="B18:C18"/>
    <mergeCell ref="B19:H19"/>
    <mergeCell ref="B20:H20"/>
    <mergeCell ref="B21:C21"/>
    <mergeCell ref="B22:C22"/>
    <mergeCell ref="D29:D30"/>
    <mergeCell ref="E29:E30"/>
    <mergeCell ref="F29:F30"/>
    <mergeCell ref="G29:G30"/>
    <mergeCell ref="B29:C30"/>
    <mergeCell ref="B31:H31"/>
    <mergeCell ref="B23:C23"/>
    <mergeCell ref="B24:C24"/>
    <mergeCell ref="B25:C25"/>
    <mergeCell ref="B26:H26"/>
    <mergeCell ref="B27:C27"/>
    <mergeCell ref="B28:H28"/>
    <mergeCell ref="H29:H3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4.88"/>
    <col customWidth="1" min="9" max="9" width="7.88"/>
    <col customWidth="1" min="11" max="11" width="14.13"/>
  </cols>
  <sheetData>
    <row r="3">
      <c r="B3" s="466" t="s">
        <v>225</v>
      </c>
      <c r="C3" s="166"/>
      <c r="D3" s="166"/>
      <c r="E3" s="166"/>
      <c r="F3" s="166"/>
      <c r="G3" s="166"/>
      <c r="H3" s="167"/>
      <c r="I3" s="57"/>
      <c r="J3" s="200" t="s">
        <v>226</v>
      </c>
      <c r="K3" s="54"/>
      <c r="L3" s="54"/>
      <c r="M3" s="54"/>
      <c r="N3" s="54"/>
      <c r="O3" s="201"/>
    </row>
    <row r="4">
      <c r="B4" s="18"/>
      <c r="H4" s="168"/>
      <c r="I4" s="162" t="s">
        <v>102</v>
      </c>
      <c r="J4" s="226" t="s">
        <v>227</v>
      </c>
      <c r="K4" s="227"/>
      <c r="L4" s="227"/>
      <c r="M4" s="227"/>
      <c r="N4" s="57"/>
      <c r="O4" s="163"/>
    </row>
    <row r="5">
      <c r="B5" s="264"/>
      <c r="D5" s="467" t="s">
        <v>77</v>
      </c>
      <c r="E5" s="467" t="s">
        <v>78</v>
      </c>
      <c r="F5" s="467" t="s">
        <v>79</v>
      </c>
      <c r="G5" s="467" t="s">
        <v>80</v>
      </c>
      <c r="H5" s="468" t="s">
        <v>81</v>
      </c>
      <c r="I5" s="442" t="s">
        <v>102</v>
      </c>
      <c r="J5" s="469" t="s">
        <v>200</v>
      </c>
      <c r="L5" s="470">
        <v>0.0401744603271902</v>
      </c>
      <c r="M5" s="57"/>
      <c r="N5" s="57"/>
      <c r="O5" s="163"/>
    </row>
    <row r="6">
      <c r="B6" s="18"/>
      <c r="D6" s="471" t="s">
        <v>82</v>
      </c>
      <c r="E6" s="471" t="s">
        <v>83</v>
      </c>
      <c r="F6" s="471" t="s">
        <v>84</v>
      </c>
      <c r="G6" s="471" t="s">
        <v>85</v>
      </c>
      <c r="H6" s="21"/>
      <c r="I6" s="57"/>
      <c r="J6" s="57"/>
      <c r="K6" s="57"/>
      <c r="L6" s="57"/>
      <c r="M6" s="33"/>
      <c r="N6" s="33"/>
      <c r="O6" s="163"/>
    </row>
    <row r="7">
      <c r="B7" s="447"/>
      <c r="C7" s="227"/>
      <c r="D7" s="227"/>
      <c r="E7" s="227"/>
      <c r="F7" s="227"/>
      <c r="G7" s="227"/>
      <c r="H7" s="228"/>
      <c r="I7" s="57"/>
      <c r="J7" s="446" t="s">
        <v>201</v>
      </c>
      <c r="K7" s="74"/>
      <c r="L7" s="33"/>
      <c r="M7" s="57"/>
      <c r="N7" s="57"/>
      <c r="O7" s="163"/>
    </row>
    <row r="8">
      <c r="B8" s="449" t="s">
        <v>203</v>
      </c>
      <c r="C8" s="20"/>
      <c r="D8" s="20"/>
      <c r="E8" s="20"/>
      <c r="F8" s="20"/>
      <c r="G8" s="20"/>
      <c r="H8" s="21"/>
      <c r="I8" s="57"/>
      <c r="J8" s="369" t="s">
        <v>93</v>
      </c>
      <c r="K8" s="448" t="s">
        <v>202</v>
      </c>
      <c r="L8" s="57"/>
      <c r="M8" s="57"/>
      <c r="N8" s="57"/>
      <c r="O8" s="163"/>
    </row>
    <row r="9">
      <c r="B9" s="451" t="s">
        <v>204</v>
      </c>
      <c r="C9" s="54"/>
      <c r="D9" s="452">
        <f>'5. Manufacturing'!D10</f>
        <v>0.2472475723</v>
      </c>
      <c r="E9" s="453">
        <f>'5. Manufacturing'!E10</f>
        <v>0.7527524277</v>
      </c>
      <c r="F9" s="57"/>
      <c r="G9" s="57"/>
      <c r="H9" s="163"/>
      <c r="I9" s="57"/>
      <c r="J9" s="209" t="s">
        <v>100</v>
      </c>
      <c r="K9" s="450">
        <f>'5. Manufacturing'!K9</f>
        <v>0.2472475723</v>
      </c>
      <c r="L9" s="57"/>
      <c r="M9" s="57"/>
      <c r="N9" s="57"/>
      <c r="O9" s="163"/>
    </row>
    <row r="10">
      <c r="B10" s="472" t="s">
        <v>228</v>
      </c>
      <c r="C10" s="20"/>
      <c r="D10" s="20"/>
      <c r="E10" s="20"/>
      <c r="F10" s="20"/>
      <c r="G10" s="20"/>
      <c r="H10" s="21"/>
      <c r="I10" s="57"/>
      <c r="J10" s="454" t="s">
        <v>14</v>
      </c>
      <c r="K10" s="455">
        <f>'5. Manufacturing'!K10</f>
        <v>0.7527524277</v>
      </c>
      <c r="L10" s="57"/>
      <c r="M10" s="57"/>
      <c r="N10" s="57"/>
      <c r="O10" s="163"/>
    </row>
    <row r="11">
      <c r="B11" s="473" t="s">
        <v>229</v>
      </c>
      <c r="C11" s="227"/>
      <c r="D11" s="474">
        <f>$D$9*H11</f>
        <v>1395719.171</v>
      </c>
      <c r="E11" s="474">
        <f>$E$9*H11</f>
        <v>4249307.625</v>
      </c>
      <c r="F11" s="475">
        <v>0.0</v>
      </c>
      <c r="G11" s="475">
        <v>0.0</v>
      </c>
      <c r="H11" s="476">
        <f>(5427000*'6. Admin Expense'!$L$5)+5427000</f>
        <v>5645026.796</v>
      </c>
      <c r="I11" s="162" t="s">
        <v>102</v>
      </c>
      <c r="J11" s="226" t="s">
        <v>206</v>
      </c>
      <c r="K11" s="227"/>
      <c r="L11" s="227"/>
      <c r="M11" s="33"/>
      <c r="N11" s="33"/>
      <c r="O11" s="163"/>
    </row>
    <row r="12">
      <c r="B12" s="477" t="s">
        <v>230</v>
      </c>
      <c r="H12" s="168"/>
      <c r="I12" s="57"/>
      <c r="J12" s="22"/>
      <c r="K12" s="22"/>
      <c r="L12" s="77"/>
      <c r="M12" s="77"/>
      <c r="N12" s="77"/>
      <c r="O12" s="163"/>
    </row>
    <row r="13">
      <c r="B13" s="478" t="s">
        <v>231</v>
      </c>
      <c r="C13" s="3"/>
      <c r="D13" s="57">
        <f t="shared" ref="D13:G13" si="1">$H13/4</f>
        <v>1031332.977</v>
      </c>
      <c r="E13" s="57">
        <f t="shared" si="1"/>
        <v>1031332.977</v>
      </c>
      <c r="F13" s="57">
        <f t="shared" si="1"/>
        <v>1031332.977</v>
      </c>
      <c r="G13" s="57">
        <f t="shared" si="1"/>
        <v>1031332.977</v>
      </c>
      <c r="H13" s="479">
        <f>(3966000*'6. Admin Expense'!$L$5)+3966000</f>
        <v>4125331.91</v>
      </c>
      <c r="I13" s="57"/>
      <c r="J13" s="200" t="s">
        <v>232</v>
      </c>
      <c r="K13" s="54"/>
      <c r="L13" s="54"/>
      <c r="M13" s="54"/>
      <c r="N13" s="54"/>
      <c r="O13" s="201"/>
    </row>
    <row r="14">
      <c r="B14" s="316" t="s">
        <v>233</v>
      </c>
      <c r="D14" s="57">
        <f t="shared" ref="D14:G14" si="2">$H14/4</f>
        <v>704198.1096</v>
      </c>
      <c r="E14" s="57">
        <f t="shared" si="2"/>
        <v>704198.1096</v>
      </c>
      <c r="F14" s="57">
        <f t="shared" si="2"/>
        <v>704198.1096</v>
      </c>
      <c r="G14" s="57">
        <f t="shared" si="2"/>
        <v>704198.1096</v>
      </c>
      <c r="H14" s="395">
        <f>(2708000*'6. Admin Expense'!$L$5)+2708000</f>
        <v>2816792.439</v>
      </c>
      <c r="I14" s="162" t="s">
        <v>102</v>
      </c>
      <c r="J14" s="226" t="s">
        <v>227</v>
      </c>
      <c r="K14" s="227"/>
      <c r="L14" s="227"/>
      <c r="M14" s="227"/>
      <c r="N14" s="57"/>
      <c r="O14" s="163"/>
    </row>
    <row r="15">
      <c r="B15" s="316" t="s">
        <v>213</v>
      </c>
      <c r="D15" s="57">
        <f t="shared" ref="D15:G15" si="3">$H15/4</f>
        <v>1417497.746</v>
      </c>
      <c r="E15" s="57">
        <f t="shared" si="3"/>
        <v>1417497.746</v>
      </c>
      <c r="F15" s="57">
        <f t="shared" si="3"/>
        <v>1417497.746</v>
      </c>
      <c r="G15" s="57">
        <f t="shared" si="3"/>
        <v>1417497.746</v>
      </c>
      <c r="H15" s="395">
        <f>(5451000*'6. Admin Expense'!$L$5)+5451000</f>
        <v>5669990.983</v>
      </c>
      <c r="I15" s="442" t="s">
        <v>102</v>
      </c>
      <c r="J15" s="456" t="s">
        <v>234</v>
      </c>
      <c r="K15" s="236"/>
      <c r="L15" s="457">
        <f>'Rough work'!H11</f>
        <v>0.1665</v>
      </c>
      <c r="M15" s="57"/>
      <c r="N15" s="57"/>
      <c r="O15" s="163"/>
    </row>
    <row r="16">
      <c r="B16" s="447"/>
      <c r="C16" s="227"/>
      <c r="D16" s="227"/>
      <c r="E16" s="227"/>
      <c r="F16" s="227"/>
      <c r="G16" s="227"/>
      <c r="H16" s="228"/>
      <c r="I16" s="162" t="s">
        <v>102</v>
      </c>
      <c r="J16" s="311" t="s">
        <v>215</v>
      </c>
      <c r="K16" s="236"/>
      <c r="L16" s="236"/>
      <c r="M16" s="236"/>
      <c r="N16" s="236"/>
      <c r="O16" s="237"/>
    </row>
    <row r="17">
      <c r="B17" s="458" t="s">
        <v>216</v>
      </c>
      <c r="C17" s="227"/>
      <c r="D17" s="459">
        <f t="shared" ref="D17:G17" si="4">sum(D10:D15)</f>
        <v>4548748.004</v>
      </c>
      <c r="E17" s="459">
        <f t="shared" si="4"/>
        <v>7402336.458</v>
      </c>
      <c r="F17" s="459">
        <f t="shared" si="4"/>
        <v>3153028.833</v>
      </c>
      <c r="G17" s="459">
        <f t="shared" si="4"/>
        <v>3153028.833</v>
      </c>
      <c r="H17" s="460">
        <f>SUM(H10:H15)</f>
        <v>18257142.13</v>
      </c>
      <c r="I17" s="162" t="s">
        <v>102</v>
      </c>
      <c r="J17" s="311" t="s">
        <v>214</v>
      </c>
      <c r="K17" s="236"/>
      <c r="L17" s="236"/>
      <c r="M17" s="236"/>
      <c r="N17" s="236"/>
      <c r="O17" s="237"/>
    </row>
    <row r="18">
      <c r="B18" s="447"/>
      <c r="C18" s="227"/>
      <c r="D18" s="227"/>
      <c r="E18" s="227"/>
      <c r="F18" s="227"/>
      <c r="G18" s="227"/>
      <c r="H18" s="228"/>
    </row>
    <row r="19">
      <c r="B19" s="449" t="s">
        <v>217</v>
      </c>
      <c r="C19" s="20"/>
      <c r="D19" s="20"/>
      <c r="E19" s="20"/>
      <c r="F19" s="20"/>
      <c r="G19" s="20"/>
      <c r="H19" s="21"/>
    </row>
    <row r="20">
      <c r="B20" s="472" t="s">
        <v>228</v>
      </c>
      <c r="C20" s="20"/>
      <c r="D20" s="20"/>
      <c r="E20" s="20"/>
      <c r="F20" s="20"/>
      <c r="G20" s="20"/>
      <c r="H20" s="21"/>
    </row>
    <row r="21">
      <c r="B21" s="316" t="s">
        <v>218</v>
      </c>
      <c r="D21" s="57">
        <f t="shared" ref="D21:G21" si="5">$H21/4</f>
        <v>1294815</v>
      </c>
      <c r="E21" s="57">
        <f t="shared" si="5"/>
        <v>1294815</v>
      </c>
      <c r="F21" s="57">
        <f t="shared" si="5"/>
        <v>1294815</v>
      </c>
      <c r="G21" s="57">
        <f t="shared" si="5"/>
        <v>1294815</v>
      </c>
      <c r="H21" s="395">
        <f>(4440000*'6. Admin Expense'!$L$15)+4440000</f>
        <v>5179260</v>
      </c>
    </row>
    <row r="22">
      <c r="B22" s="316" t="s">
        <v>220</v>
      </c>
      <c r="D22" s="57">
        <f t="shared" ref="D22:G22" si="6">$H22/4</f>
        <v>11956.625</v>
      </c>
      <c r="E22" s="57">
        <f t="shared" si="6"/>
        <v>11956.625</v>
      </c>
      <c r="F22" s="57">
        <f t="shared" si="6"/>
        <v>11956.625</v>
      </c>
      <c r="G22" s="57">
        <f t="shared" si="6"/>
        <v>11956.625</v>
      </c>
      <c r="H22" s="395">
        <f>(41000*'6. Admin Expense'!$L$15)+41000</f>
        <v>47826.5</v>
      </c>
    </row>
    <row r="23">
      <c r="B23" s="316" t="s">
        <v>222</v>
      </c>
      <c r="D23" s="57">
        <f t="shared" ref="D23:G23" si="7">$H23/4</f>
        <v>871750</v>
      </c>
      <c r="E23" s="57">
        <f t="shared" si="7"/>
        <v>871750</v>
      </c>
      <c r="F23" s="57">
        <f t="shared" si="7"/>
        <v>871750</v>
      </c>
      <c r="G23" s="57">
        <f t="shared" si="7"/>
        <v>871750</v>
      </c>
      <c r="H23" s="163">
        <f>(3487000)</f>
        <v>3487000</v>
      </c>
    </row>
    <row r="24">
      <c r="B24" s="477" t="s">
        <v>235</v>
      </c>
      <c r="H24" s="168"/>
    </row>
    <row r="25">
      <c r="B25" s="316" t="s">
        <v>218</v>
      </c>
      <c r="D25" s="57">
        <f t="shared" ref="D25:G25" si="8">$H25/4</f>
        <v>58414237.25</v>
      </c>
      <c r="E25" s="57">
        <f t="shared" si="8"/>
        <v>58414237.25</v>
      </c>
      <c r="F25" s="57">
        <f t="shared" si="8"/>
        <v>58414237.25</v>
      </c>
      <c r="G25" s="57">
        <f t="shared" si="8"/>
        <v>58414237.25</v>
      </c>
      <c r="H25" s="163">
        <f>('6. Admin Expense'!$L$15*200306000)+200306000</f>
        <v>233656949</v>
      </c>
    </row>
    <row r="26">
      <c r="B26" s="316" t="s">
        <v>220</v>
      </c>
      <c r="D26" s="57">
        <f t="shared" ref="D26:G26" si="9">$H26/4</f>
        <v>820049.5</v>
      </c>
      <c r="E26" s="57">
        <f t="shared" si="9"/>
        <v>820049.5</v>
      </c>
      <c r="F26" s="57">
        <f t="shared" si="9"/>
        <v>820049.5</v>
      </c>
      <c r="G26" s="57">
        <f t="shared" si="9"/>
        <v>820049.5</v>
      </c>
      <c r="H26" s="163">
        <f>('6. Admin Expense'!$L$15*2812000)+2812000</f>
        <v>3280198</v>
      </c>
    </row>
    <row r="27">
      <c r="B27" s="316" t="s">
        <v>236</v>
      </c>
      <c r="D27" s="57">
        <f t="shared" ref="D27:G27" si="10">$H27/4</f>
        <v>361615</v>
      </c>
      <c r="E27" s="57">
        <f t="shared" si="10"/>
        <v>361615</v>
      </c>
      <c r="F27" s="57">
        <f t="shared" si="10"/>
        <v>361615</v>
      </c>
      <c r="G27" s="57">
        <f t="shared" si="10"/>
        <v>361615</v>
      </c>
      <c r="H27" s="163">
        <f>('6. Admin Expense'!$L$15*1240000)+1240000</f>
        <v>1446460</v>
      </c>
    </row>
    <row r="28">
      <c r="B28" s="316" t="s">
        <v>237</v>
      </c>
      <c r="D28" s="57">
        <f t="shared" ref="D28:G28" si="11">$H28/4</f>
        <v>874000.125</v>
      </c>
      <c r="E28" s="57">
        <f t="shared" si="11"/>
        <v>874000.125</v>
      </c>
      <c r="F28" s="57">
        <f t="shared" si="11"/>
        <v>874000.125</v>
      </c>
      <c r="G28" s="57">
        <f t="shared" si="11"/>
        <v>874000.125</v>
      </c>
      <c r="H28" s="163">
        <f>('6. Admin Expense'!$L$15*2997000)+2997000</f>
        <v>3496000.5</v>
      </c>
    </row>
    <row r="29">
      <c r="B29" s="316" t="s">
        <v>238</v>
      </c>
      <c r="D29" s="57">
        <f t="shared" ref="D29:G29" si="12">$H29/4</f>
        <v>552337.75</v>
      </c>
      <c r="E29" s="57">
        <f t="shared" si="12"/>
        <v>552337.75</v>
      </c>
      <c r="F29" s="57">
        <f t="shared" si="12"/>
        <v>552337.75</v>
      </c>
      <c r="G29" s="57">
        <f t="shared" si="12"/>
        <v>552337.75</v>
      </c>
      <c r="H29" s="163">
        <f>('6. Admin Expense'!$L$15*1894000)+1894000</f>
        <v>2209351</v>
      </c>
    </row>
    <row r="30">
      <c r="B30" s="316" t="s">
        <v>222</v>
      </c>
      <c r="D30" s="57">
        <f t="shared" ref="D30:G30" si="13">$H30/4</f>
        <v>298332.375</v>
      </c>
      <c r="E30" s="57">
        <f t="shared" si="13"/>
        <v>298332.375</v>
      </c>
      <c r="F30" s="57">
        <f t="shared" si="13"/>
        <v>298332.375</v>
      </c>
      <c r="G30" s="57">
        <f t="shared" si="13"/>
        <v>298332.375</v>
      </c>
      <c r="H30" s="163">
        <f>('6. Admin Expense'!$L$15*1023000)+1023000</f>
        <v>1193329.5</v>
      </c>
    </row>
    <row r="31">
      <c r="B31" s="316" t="s">
        <v>239</v>
      </c>
      <c r="D31" s="57">
        <f t="shared" ref="D31:G31" si="14">$H31/4</f>
        <v>83988</v>
      </c>
      <c r="E31" s="57">
        <f t="shared" si="14"/>
        <v>83988</v>
      </c>
      <c r="F31" s="57">
        <f t="shared" si="14"/>
        <v>83988</v>
      </c>
      <c r="G31" s="57">
        <f t="shared" si="14"/>
        <v>83988</v>
      </c>
      <c r="H31" s="163">
        <f>('6. Admin Expense'!$L$15*288000)+288000</f>
        <v>335952</v>
      </c>
    </row>
    <row r="32">
      <c r="B32" s="316" t="s">
        <v>240</v>
      </c>
      <c r="D32" s="57">
        <f t="shared" ref="D32:G32" si="15">$H32/4</f>
        <v>321079.125</v>
      </c>
      <c r="E32" s="57">
        <f t="shared" si="15"/>
        <v>321079.125</v>
      </c>
      <c r="F32" s="57">
        <f t="shared" si="15"/>
        <v>321079.125</v>
      </c>
      <c r="G32" s="57">
        <f t="shared" si="15"/>
        <v>321079.125</v>
      </c>
      <c r="H32" s="163">
        <f>('6. Admin Expense'!$L$15*1101000)+1101000</f>
        <v>1284316.5</v>
      </c>
    </row>
    <row r="33">
      <c r="B33" s="316" t="s">
        <v>241</v>
      </c>
      <c r="D33" s="57">
        <f t="shared" ref="D33:G33" si="16">$H33/4</f>
        <v>665196.625</v>
      </c>
      <c r="E33" s="57">
        <f t="shared" si="16"/>
        <v>665196.625</v>
      </c>
      <c r="F33" s="57">
        <f t="shared" si="16"/>
        <v>665196.625</v>
      </c>
      <c r="G33" s="57">
        <f t="shared" si="16"/>
        <v>665196.625</v>
      </c>
      <c r="H33" s="163">
        <f>('6. Admin Expense'!$L$15*2281000)+2281000</f>
        <v>2660786.5</v>
      </c>
    </row>
    <row r="34">
      <c r="B34" s="316" t="s">
        <v>242</v>
      </c>
      <c r="D34" s="57">
        <f t="shared" ref="D34:G34" si="17">$H34/4</f>
        <v>2849467.875</v>
      </c>
      <c r="E34" s="57">
        <f t="shared" si="17"/>
        <v>2849467.875</v>
      </c>
      <c r="F34" s="57">
        <f t="shared" si="17"/>
        <v>2849467.875</v>
      </c>
      <c r="G34" s="57">
        <f t="shared" si="17"/>
        <v>2849467.875</v>
      </c>
      <c r="H34" s="163">
        <f>('6. Admin Expense'!$L$15*9771000)+9771000</f>
        <v>11397871.5</v>
      </c>
    </row>
    <row r="35">
      <c r="B35" s="316" t="s">
        <v>243</v>
      </c>
      <c r="D35" s="57">
        <f t="shared" ref="D35:G35" si="18">$H35/4</f>
        <v>166226.25</v>
      </c>
      <c r="E35" s="57">
        <f t="shared" si="18"/>
        <v>166226.25</v>
      </c>
      <c r="F35" s="57">
        <f t="shared" si="18"/>
        <v>166226.25</v>
      </c>
      <c r="G35" s="57">
        <f t="shared" si="18"/>
        <v>166226.25</v>
      </c>
      <c r="H35" s="163">
        <f>('6. Admin Expense'!$L$15*570000)+570000</f>
        <v>664905</v>
      </c>
    </row>
    <row r="36">
      <c r="B36" s="316" t="s">
        <v>244</v>
      </c>
      <c r="D36" s="57">
        <f t="shared" ref="D36:G36" si="19">$H36/4</f>
        <v>2883004.75</v>
      </c>
      <c r="E36" s="57">
        <f t="shared" si="19"/>
        <v>2883004.75</v>
      </c>
      <c r="F36" s="57">
        <f t="shared" si="19"/>
        <v>2883004.75</v>
      </c>
      <c r="G36" s="57">
        <f t="shared" si="19"/>
        <v>2883004.75</v>
      </c>
      <c r="H36" s="163">
        <f>('6. Admin Expense'!$L$15*9886000)+9886000</f>
        <v>11532019</v>
      </c>
    </row>
    <row r="37">
      <c r="B37" s="447"/>
      <c r="C37" s="227"/>
      <c r="D37" s="227"/>
      <c r="E37" s="227"/>
      <c r="F37" s="227"/>
      <c r="G37" s="227"/>
      <c r="H37" s="228"/>
    </row>
    <row r="38">
      <c r="B38" s="458" t="s">
        <v>223</v>
      </c>
      <c r="C38" s="227"/>
      <c r="D38" s="459">
        <f t="shared" ref="D38:H38" si="20">SUM(D21:D23,D25:D36)</f>
        <v>70468056.25</v>
      </c>
      <c r="E38" s="459">
        <f t="shared" si="20"/>
        <v>70468056.25</v>
      </c>
      <c r="F38" s="459">
        <f t="shared" si="20"/>
        <v>70468056.25</v>
      </c>
      <c r="G38" s="459">
        <f t="shared" si="20"/>
        <v>70468056.25</v>
      </c>
      <c r="H38" s="460">
        <f t="shared" si="20"/>
        <v>281872225</v>
      </c>
    </row>
    <row r="39">
      <c r="B39" s="447"/>
      <c r="C39" s="227"/>
      <c r="D39" s="227"/>
      <c r="E39" s="227"/>
      <c r="F39" s="227"/>
      <c r="G39" s="227"/>
      <c r="H39" s="228"/>
    </row>
    <row r="40">
      <c r="B40" s="464" t="s">
        <v>245</v>
      </c>
      <c r="D40" s="349">
        <f t="shared" ref="D40:H40" si="21">sum(D17,D38)</f>
        <v>75016804.25</v>
      </c>
      <c r="E40" s="349">
        <f t="shared" si="21"/>
        <v>77870392.71</v>
      </c>
      <c r="F40" s="349">
        <f t="shared" si="21"/>
        <v>73621085.08</v>
      </c>
      <c r="G40" s="349">
        <f t="shared" si="21"/>
        <v>73621085.08</v>
      </c>
      <c r="H40" s="351">
        <f t="shared" si="21"/>
        <v>300129367.1</v>
      </c>
    </row>
    <row r="41">
      <c r="B41" s="465"/>
      <c r="C41" s="227"/>
      <c r="D41" s="6"/>
      <c r="E41" s="6"/>
      <c r="F41" s="6"/>
      <c r="G41" s="6"/>
      <c r="H41" s="266"/>
    </row>
    <row r="42">
      <c r="B42" s="267"/>
      <c r="C42" s="197"/>
      <c r="D42" s="197"/>
      <c r="E42" s="197"/>
      <c r="F42" s="197"/>
      <c r="G42" s="197"/>
      <c r="H42" s="352"/>
    </row>
  </sheetData>
  <mergeCells count="53">
    <mergeCell ref="B40:C41"/>
    <mergeCell ref="B42:H42"/>
    <mergeCell ref="B38:C38"/>
    <mergeCell ref="B39:H39"/>
    <mergeCell ref="D40:D41"/>
    <mergeCell ref="E40:E41"/>
    <mergeCell ref="F40:F41"/>
    <mergeCell ref="G40:G41"/>
    <mergeCell ref="H40:H41"/>
    <mergeCell ref="B3:H4"/>
    <mergeCell ref="J3:O3"/>
    <mergeCell ref="J4:M4"/>
    <mergeCell ref="B5:C6"/>
    <mergeCell ref="H5:H6"/>
    <mergeCell ref="J5:K5"/>
    <mergeCell ref="J7:K7"/>
    <mergeCell ref="B7:H7"/>
    <mergeCell ref="B8:H8"/>
    <mergeCell ref="B9:C9"/>
    <mergeCell ref="B10:H10"/>
    <mergeCell ref="B11:C11"/>
    <mergeCell ref="J11:L11"/>
    <mergeCell ref="B12:H12"/>
    <mergeCell ref="B15:C15"/>
    <mergeCell ref="B17:C17"/>
    <mergeCell ref="B13:C13"/>
    <mergeCell ref="J13:O13"/>
    <mergeCell ref="B14:C14"/>
    <mergeCell ref="J14:M14"/>
    <mergeCell ref="J15:K15"/>
    <mergeCell ref="J16:O16"/>
    <mergeCell ref="J17:O17"/>
    <mergeCell ref="B16:H16"/>
    <mergeCell ref="B18:H18"/>
    <mergeCell ref="B19:H19"/>
    <mergeCell ref="B20:H20"/>
    <mergeCell ref="B21:C21"/>
    <mergeCell ref="B22:C22"/>
    <mergeCell ref="B24:H24"/>
    <mergeCell ref="B23:C23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H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6.5"/>
  </cols>
  <sheetData>
    <row r="3">
      <c r="B3" s="466" t="s">
        <v>246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264"/>
      <c r="D5" s="171" t="s">
        <v>77</v>
      </c>
      <c r="E5" s="171" t="s">
        <v>78</v>
      </c>
      <c r="F5" s="171" t="s">
        <v>79</v>
      </c>
      <c r="G5" s="171" t="s">
        <v>80</v>
      </c>
      <c r="H5" s="172" t="s">
        <v>81</v>
      </c>
    </row>
    <row r="6">
      <c r="B6" s="18"/>
      <c r="D6" s="445" t="s">
        <v>82</v>
      </c>
      <c r="E6" s="445" t="s">
        <v>83</v>
      </c>
      <c r="F6" s="445" t="s">
        <v>84</v>
      </c>
      <c r="G6" s="445" t="s">
        <v>85</v>
      </c>
      <c r="H6" s="21"/>
    </row>
    <row r="7">
      <c r="B7" s="447"/>
      <c r="C7" s="227"/>
      <c r="D7" s="227"/>
      <c r="E7" s="227"/>
      <c r="F7" s="227"/>
      <c r="G7" s="227"/>
      <c r="H7" s="228"/>
    </row>
    <row r="8">
      <c r="B8" s="480" t="s">
        <v>247</v>
      </c>
      <c r="C8" s="227"/>
      <c r="D8" s="57">
        <f>'1. Sales'!D15</f>
        <v>1097086046</v>
      </c>
      <c r="E8" s="57">
        <f>'1. Sales'!E15</f>
        <v>2778013546</v>
      </c>
      <c r="F8" s="57">
        <f>'1. Sales'!F15</f>
        <v>1465783020</v>
      </c>
      <c r="G8" s="57">
        <f>'1. Sales'!G15</f>
        <v>2254099763</v>
      </c>
      <c r="H8" s="163">
        <f>'1. Sales'!H15</f>
        <v>7594982375</v>
      </c>
    </row>
    <row r="9">
      <c r="B9" s="481" t="s">
        <v>248</v>
      </c>
      <c r="H9" s="168"/>
    </row>
    <row r="10">
      <c r="B10" s="463"/>
      <c r="C10" s="236"/>
      <c r="D10" s="236"/>
      <c r="E10" s="236"/>
      <c r="F10" s="236"/>
      <c r="G10" s="236"/>
      <c r="H10" s="237"/>
    </row>
    <row r="11">
      <c r="B11" s="260" t="s">
        <v>249</v>
      </c>
      <c r="D11" s="57">
        <f t="shared" ref="D11:H11" si="1">D8*$C$12</f>
        <v>877668836.6</v>
      </c>
      <c r="E11" s="57">
        <f t="shared" si="1"/>
        <v>2222410837</v>
      </c>
      <c r="F11" s="57">
        <f t="shared" si="1"/>
        <v>1172626416</v>
      </c>
      <c r="G11" s="57">
        <f t="shared" si="1"/>
        <v>1803279810</v>
      </c>
      <c r="H11" s="163">
        <f t="shared" si="1"/>
        <v>6075985900</v>
      </c>
    </row>
    <row r="12">
      <c r="B12" s="482" t="s">
        <v>250</v>
      </c>
      <c r="C12" s="483">
        <v>0.8</v>
      </c>
      <c r="H12" s="168"/>
    </row>
    <row r="13">
      <c r="B13" s="484" t="s">
        <v>251</v>
      </c>
      <c r="D13" s="57">
        <f>G8*$C$14</f>
        <v>405737957.3</v>
      </c>
      <c r="E13" s="57">
        <f t="shared" ref="E13:G13" si="2">D8*$C$14</f>
        <v>197475488.2</v>
      </c>
      <c r="F13" s="57">
        <f t="shared" si="2"/>
        <v>500042438.4</v>
      </c>
      <c r="G13" s="57">
        <f t="shared" si="2"/>
        <v>263840943.6</v>
      </c>
      <c r="H13" s="163">
        <f>sum(D13:G14)</f>
        <v>1367096827</v>
      </c>
    </row>
    <row r="14">
      <c r="B14" s="482" t="s">
        <v>250</v>
      </c>
      <c r="C14" s="483">
        <v>0.18</v>
      </c>
      <c r="H14" s="168"/>
    </row>
    <row r="15">
      <c r="B15" s="463"/>
      <c r="C15" s="236"/>
      <c r="D15" s="236"/>
      <c r="E15" s="236"/>
      <c r="F15" s="236"/>
      <c r="G15" s="236"/>
      <c r="H15" s="237"/>
    </row>
    <row r="16">
      <c r="B16" s="485" t="s">
        <v>252</v>
      </c>
      <c r="C16" s="227"/>
      <c r="D16" s="486">
        <f t="shared" ref="D16:H16" si="3">SUM(D11:D14)</f>
        <v>1283406794</v>
      </c>
      <c r="E16" s="486">
        <f t="shared" si="3"/>
        <v>2419886325</v>
      </c>
      <c r="F16" s="486">
        <f t="shared" si="3"/>
        <v>1672668854</v>
      </c>
      <c r="G16" s="486">
        <f t="shared" si="3"/>
        <v>2067120754</v>
      </c>
      <c r="H16" s="487">
        <f t="shared" si="3"/>
        <v>7443082727</v>
      </c>
    </row>
    <row r="17">
      <c r="B17" s="447"/>
      <c r="C17" s="227"/>
      <c r="D17" s="227"/>
      <c r="E17" s="227"/>
      <c r="F17" s="227"/>
      <c r="G17" s="227"/>
      <c r="H17" s="228"/>
    </row>
    <row r="18">
      <c r="B18" s="260" t="s">
        <v>253</v>
      </c>
      <c r="D18" s="488">
        <f t="shared" ref="D18:G18" si="4">D8*$C$19</f>
        <v>21941720.91</v>
      </c>
      <c r="E18" s="488">
        <f t="shared" si="4"/>
        <v>55560270.93</v>
      </c>
      <c r="F18" s="488">
        <f t="shared" si="4"/>
        <v>29315660.4</v>
      </c>
      <c r="G18" s="488">
        <f t="shared" si="4"/>
        <v>45081995.25</v>
      </c>
      <c r="H18" s="489">
        <f>sum(E18:G19)</f>
        <v>129957926.6</v>
      </c>
    </row>
    <row r="19">
      <c r="B19" s="264" t="s">
        <v>250</v>
      </c>
      <c r="C19" s="483">
        <v>0.02</v>
      </c>
      <c r="D19" s="6"/>
      <c r="E19" s="6"/>
      <c r="F19" s="6"/>
      <c r="G19" s="6"/>
      <c r="H19" s="266"/>
    </row>
    <row r="20">
      <c r="B20" s="490"/>
      <c r="C20" s="491"/>
      <c r="D20" s="491"/>
      <c r="E20" s="491"/>
      <c r="F20" s="491"/>
      <c r="G20" s="491"/>
      <c r="H20" s="492"/>
    </row>
  </sheetData>
  <mergeCells count="34">
    <mergeCell ref="F8:F9"/>
    <mergeCell ref="G8:G9"/>
    <mergeCell ref="B3:H4"/>
    <mergeCell ref="B5:C6"/>
    <mergeCell ref="H5:H6"/>
    <mergeCell ref="B7:H7"/>
    <mergeCell ref="D8:D9"/>
    <mergeCell ref="E8:E9"/>
    <mergeCell ref="H8:H9"/>
    <mergeCell ref="B10:H10"/>
    <mergeCell ref="B8:C8"/>
    <mergeCell ref="B9:C9"/>
    <mergeCell ref="D11:D12"/>
    <mergeCell ref="E11:E12"/>
    <mergeCell ref="F11:F12"/>
    <mergeCell ref="G11:G12"/>
    <mergeCell ref="H11:H12"/>
    <mergeCell ref="B11:C11"/>
    <mergeCell ref="D13:D14"/>
    <mergeCell ref="E13:E14"/>
    <mergeCell ref="F13:F14"/>
    <mergeCell ref="G13:G14"/>
    <mergeCell ref="H13:H14"/>
    <mergeCell ref="B15:H15"/>
    <mergeCell ref="B17:H17"/>
    <mergeCell ref="H18:H19"/>
    <mergeCell ref="B20:H20"/>
    <mergeCell ref="B13:C13"/>
    <mergeCell ref="B16:C16"/>
    <mergeCell ref="B18:C18"/>
    <mergeCell ref="D18:D19"/>
    <mergeCell ref="E18:E19"/>
    <mergeCell ref="F18:F19"/>
    <mergeCell ref="G18:G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5.25"/>
  </cols>
  <sheetData>
    <row r="3">
      <c r="B3" s="466" t="s">
        <v>254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264"/>
      <c r="D5" s="171" t="s">
        <v>77</v>
      </c>
      <c r="E5" s="171" t="s">
        <v>78</v>
      </c>
      <c r="F5" s="171" t="s">
        <v>79</v>
      </c>
      <c r="G5" s="171" t="s">
        <v>80</v>
      </c>
      <c r="H5" s="172" t="s">
        <v>81</v>
      </c>
    </row>
    <row r="6">
      <c r="B6" s="18"/>
      <c r="D6" s="445" t="s">
        <v>82</v>
      </c>
      <c r="E6" s="445" t="s">
        <v>83</v>
      </c>
      <c r="F6" s="445" t="s">
        <v>84</v>
      </c>
      <c r="G6" s="445" t="s">
        <v>85</v>
      </c>
      <c r="H6" s="21"/>
    </row>
    <row r="7">
      <c r="B7" s="447"/>
      <c r="C7" s="227"/>
      <c r="D7" s="227"/>
      <c r="E7" s="227"/>
      <c r="F7" s="227"/>
      <c r="G7" s="227"/>
      <c r="H7" s="228"/>
    </row>
    <row r="8">
      <c r="B8" s="260" t="s">
        <v>255</v>
      </c>
      <c r="D8" s="57">
        <f>'3. RawMaterial'!D25</f>
        <v>900439313.2</v>
      </c>
      <c r="E8" s="57">
        <f>'3. RawMaterial'!E25</f>
        <v>1600006753</v>
      </c>
      <c r="F8" s="57">
        <f>'3. RawMaterial'!F25</f>
        <v>984516589.8</v>
      </c>
      <c r="G8" s="57">
        <f>'3. RawMaterial'!G25</f>
        <v>1317839669</v>
      </c>
      <c r="H8" s="163">
        <f>'3. RawMaterial'!H25</f>
        <v>4403979794</v>
      </c>
    </row>
    <row r="9">
      <c r="B9" s="493" t="s">
        <v>256</v>
      </c>
      <c r="C9" s="227"/>
      <c r="D9" s="227"/>
      <c r="E9" s="227"/>
      <c r="F9" s="227"/>
      <c r="G9" s="227"/>
      <c r="H9" s="228"/>
    </row>
    <row r="10">
      <c r="B10" s="463"/>
      <c r="C10" s="236"/>
      <c r="D10" s="236"/>
      <c r="E10" s="236"/>
      <c r="F10" s="236"/>
      <c r="G10" s="236"/>
      <c r="H10" s="237"/>
    </row>
    <row r="11">
      <c r="B11" s="494" t="s">
        <v>257</v>
      </c>
      <c r="D11" s="57">
        <f t="shared" ref="D11:H11" si="1">D8*$C$13</f>
        <v>540263587.9</v>
      </c>
      <c r="E11" s="57">
        <f t="shared" si="1"/>
        <v>960004052</v>
      </c>
      <c r="F11" s="57">
        <f t="shared" si="1"/>
        <v>590709953.9</v>
      </c>
      <c r="G11" s="57">
        <f t="shared" si="1"/>
        <v>790703801.5</v>
      </c>
      <c r="H11" s="163">
        <f t="shared" si="1"/>
        <v>2642387877</v>
      </c>
    </row>
    <row r="12">
      <c r="B12" s="18"/>
      <c r="H12" s="168"/>
    </row>
    <row r="13">
      <c r="B13" s="482" t="s">
        <v>250</v>
      </c>
      <c r="C13" s="483">
        <v>0.6</v>
      </c>
      <c r="H13" s="168"/>
    </row>
    <row r="14">
      <c r="B14" s="494" t="s">
        <v>258</v>
      </c>
      <c r="D14" s="57">
        <f>G8*$C$15</f>
        <v>527135867.6</v>
      </c>
      <c r="E14" s="57">
        <f t="shared" ref="E14:G14" si="2">D8*$C$15</f>
        <v>360175725.3</v>
      </c>
      <c r="F14" s="57">
        <f t="shared" si="2"/>
        <v>640002701.3</v>
      </c>
      <c r="G14" s="57">
        <f t="shared" si="2"/>
        <v>393806635.9</v>
      </c>
      <c r="H14" s="163">
        <f>sum(D14:G15)</f>
        <v>1921120930</v>
      </c>
    </row>
    <row r="15">
      <c r="B15" s="482" t="s">
        <v>250</v>
      </c>
      <c r="C15" s="483">
        <v>0.4</v>
      </c>
      <c r="H15" s="168"/>
    </row>
    <row r="16">
      <c r="B16" s="463"/>
      <c r="C16" s="236"/>
      <c r="D16" s="236"/>
      <c r="E16" s="236"/>
      <c r="F16" s="236"/>
      <c r="G16" s="236"/>
      <c r="H16" s="237"/>
    </row>
    <row r="17">
      <c r="B17" s="464" t="s">
        <v>259</v>
      </c>
      <c r="D17" s="349">
        <f t="shared" ref="D17:H17" si="3">SUM(D12:D15)</f>
        <v>527135867.6</v>
      </c>
      <c r="E17" s="349">
        <f t="shared" si="3"/>
        <v>360175725.3</v>
      </c>
      <c r="F17" s="349">
        <f t="shared" si="3"/>
        <v>640002701.3</v>
      </c>
      <c r="G17" s="349">
        <f t="shared" si="3"/>
        <v>393806635.9</v>
      </c>
      <c r="H17" s="351">
        <f t="shared" si="3"/>
        <v>1921120930</v>
      </c>
    </row>
    <row r="18">
      <c r="B18" s="18"/>
      <c r="D18" s="6"/>
      <c r="E18" s="6"/>
      <c r="F18" s="6"/>
      <c r="G18" s="6"/>
      <c r="H18" s="266"/>
    </row>
    <row r="19">
      <c r="B19" s="344"/>
      <c r="H19" s="168"/>
    </row>
    <row r="20">
      <c r="B20" s="495" t="s">
        <v>260</v>
      </c>
      <c r="C20" s="54"/>
      <c r="D20" s="54"/>
      <c r="E20" s="54"/>
      <c r="F20" s="54"/>
      <c r="G20" s="54"/>
      <c r="H20" s="201"/>
    </row>
    <row r="21">
      <c r="B21" s="447"/>
      <c r="C21" s="227"/>
      <c r="D21" s="227"/>
      <c r="E21" s="227"/>
      <c r="F21" s="227"/>
      <c r="G21" s="227"/>
      <c r="H21" s="228"/>
    </row>
    <row r="22">
      <c r="B22" s="496" t="s">
        <v>261</v>
      </c>
      <c r="C22" s="227"/>
      <c r="D22" s="497"/>
      <c r="E22" s="497"/>
      <c r="F22" s="497"/>
      <c r="G22" s="497"/>
      <c r="H22" s="498"/>
    </row>
    <row r="23">
      <c r="B23" s="499" t="s">
        <v>181</v>
      </c>
      <c r="D23" s="342">
        <f>'4. Labour'!D17</f>
        <v>66749029.58</v>
      </c>
      <c r="E23" s="342">
        <f>'4. Labour'!E17</f>
        <v>203219362.6</v>
      </c>
      <c r="F23" s="500">
        <v>0.0</v>
      </c>
      <c r="G23" s="500">
        <v>0.0</v>
      </c>
      <c r="H23" s="343">
        <f>'4. Labour'!H17</f>
        <v>269968392.2</v>
      </c>
    </row>
    <row r="24">
      <c r="B24" s="463"/>
      <c r="C24" s="236"/>
      <c r="D24" s="236"/>
      <c r="E24" s="236"/>
      <c r="F24" s="236"/>
      <c r="G24" s="236"/>
      <c r="H24" s="237"/>
    </row>
    <row r="25">
      <c r="B25" s="496" t="s">
        <v>262</v>
      </c>
      <c r="C25" s="227"/>
      <c r="D25" s="497"/>
      <c r="E25" s="497"/>
      <c r="F25" s="497"/>
      <c r="G25" s="497"/>
      <c r="H25" s="498"/>
    </row>
    <row r="26">
      <c r="B26" s="449" t="s">
        <v>203</v>
      </c>
      <c r="C26" s="20"/>
      <c r="D26" s="20"/>
      <c r="E26" s="20"/>
      <c r="F26" s="20"/>
      <c r="G26" s="20"/>
      <c r="H26" s="21"/>
    </row>
    <row r="27">
      <c r="B27" s="316" t="s">
        <v>205</v>
      </c>
      <c r="D27" s="57">
        <f>H27*'5. Manufacturing'!$K$9</f>
        <v>1455264198</v>
      </c>
      <c r="E27" s="57">
        <f>H27*'5. Manufacturing'!$K$10</f>
        <v>4430594191</v>
      </c>
      <c r="F27" s="394">
        <v>0.0</v>
      </c>
      <c r="G27" s="394">
        <v>0.0</v>
      </c>
      <c r="H27" s="163">
        <f>(5658530000*'5. Manufacturing'!$L$5)+5658530000</f>
        <v>5885858389</v>
      </c>
    </row>
    <row r="28">
      <c r="B28" s="316" t="s">
        <v>207</v>
      </c>
      <c r="D28" s="57">
        <f>H28*'5. Manufacturing'!$K$9</f>
        <v>15153338.73</v>
      </c>
      <c r="E28" s="57">
        <f>H28*'5. Manufacturing'!$K$10</f>
        <v>46134780.65</v>
      </c>
      <c r="F28" s="394">
        <v>0.0</v>
      </c>
      <c r="G28" s="394">
        <v>0.0</v>
      </c>
      <c r="H28" s="163">
        <f>(58921000*'5. Manufacturing'!$L$5)+58921000</f>
        <v>61288119.38</v>
      </c>
    </row>
    <row r="29">
      <c r="B29" s="316" t="s">
        <v>208</v>
      </c>
      <c r="D29" s="57">
        <f>H29*'5. Manufacturing'!$K$9</f>
        <v>9093392.013</v>
      </c>
      <c r="E29" s="57">
        <f>H29*'5. Manufacturing'!$K$10</f>
        <v>27685096.56</v>
      </c>
      <c r="F29" s="394">
        <v>0.0</v>
      </c>
      <c r="G29" s="394">
        <v>0.0</v>
      </c>
      <c r="H29" s="163">
        <f>(35358000*'5. Manufacturing'!$L$5)+35358000</f>
        <v>36778488.57</v>
      </c>
    </row>
    <row r="30">
      <c r="B30" s="316" t="s">
        <v>210</v>
      </c>
      <c r="D30" s="57">
        <f>H30*'5. Manufacturing'!$K$9</f>
        <v>22594602.5</v>
      </c>
      <c r="E30" s="57">
        <f>H30*'5. Manufacturing'!$K$10</f>
        <v>68789924.71</v>
      </c>
      <c r="F30" s="394">
        <v>0.0</v>
      </c>
      <c r="G30" s="394">
        <v>0.0</v>
      </c>
      <c r="H30" s="163">
        <f>(87855000*'5. Manufacturing'!$L$5)+87855000</f>
        <v>91384527.21</v>
      </c>
    </row>
    <row r="31">
      <c r="B31" s="316" t="s">
        <v>211</v>
      </c>
      <c r="D31" s="57">
        <f>H31*'5. Manufacturing'!$K$9</f>
        <v>6038343.545</v>
      </c>
      <c r="E31" s="57">
        <f>H31*'5. Manufacturing'!$K$10</f>
        <v>18383912.61</v>
      </c>
      <c r="F31" s="394">
        <v>0.0</v>
      </c>
      <c r="G31" s="394">
        <v>0.0</v>
      </c>
      <c r="H31" s="163">
        <f>(23479000*'5. Manufacturing'!$L$5)+23479000</f>
        <v>24422256.15</v>
      </c>
    </row>
    <row r="32">
      <c r="B32" s="316" t="s">
        <v>213</v>
      </c>
      <c r="D32" s="57">
        <f>H32*'5. Manufacturing'!$K$9</f>
        <v>2398723.551</v>
      </c>
      <c r="E32" s="57">
        <f>H32*'5. Manufacturing'!$K$10</f>
        <v>7302983.641</v>
      </c>
      <c r="F32" s="394">
        <v>0.0</v>
      </c>
      <c r="G32" s="394">
        <v>0.0</v>
      </c>
      <c r="H32" s="163">
        <f>(9327000*'5. Manufacturing'!$L$5)+9327000</f>
        <v>9701707.191</v>
      </c>
    </row>
    <row r="33">
      <c r="B33" s="447"/>
      <c r="C33" s="227"/>
      <c r="D33" s="227"/>
      <c r="E33" s="227"/>
      <c r="F33" s="227"/>
      <c r="G33" s="227"/>
      <c r="H33" s="228"/>
    </row>
    <row r="34">
      <c r="B34" s="449" t="s">
        <v>217</v>
      </c>
      <c r="C34" s="20"/>
      <c r="D34" s="20"/>
      <c r="E34" s="20"/>
      <c r="F34" s="20"/>
      <c r="G34" s="20"/>
      <c r="H34" s="21"/>
    </row>
    <row r="35">
      <c r="B35" s="316" t="s">
        <v>218</v>
      </c>
      <c r="D35" s="42">
        <f t="shared" ref="D35:E35" si="4">$H35/2</f>
        <v>140609326.8</v>
      </c>
      <c r="E35" s="42">
        <f t="shared" si="4"/>
        <v>140609326.8</v>
      </c>
      <c r="F35" s="394">
        <v>0.0</v>
      </c>
      <c r="G35" s="394">
        <v>0.0</v>
      </c>
      <c r="H35" s="163">
        <f>(241079000*'5. Manufacturing'!$L$15)+241079000</f>
        <v>281218653.5</v>
      </c>
    </row>
    <row r="36">
      <c r="B36" s="316" t="s">
        <v>219</v>
      </c>
      <c r="D36" s="42">
        <f t="shared" ref="D36:G36" si="5">$H36/4</f>
        <v>332744.125</v>
      </c>
      <c r="E36" s="42">
        <f t="shared" si="5"/>
        <v>332744.125</v>
      </c>
      <c r="F36" s="42">
        <f t="shared" si="5"/>
        <v>332744.125</v>
      </c>
      <c r="G36" s="42">
        <f t="shared" si="5"/>
        <v>332744.125</v>
      </c>
      <c r="H36" s="163">
        <f>(1141000*'5. Manufacturing'!$L$15)+1141000</f>
        <v>1330976.5</v>
      </c>
    </row>
    <row r="37">
      <c r="B37" s="316" t="s">
        <v>220</v>
      </c>
      <c r="D37" s="42">
        <f t="shared" ref="D37:G37" si="6">$H37/4</f>
        <v>670154.25</v>
      </c>
      <c r="E37" s="42">
        <f t="shared" si="6"/>
        <v>670154.25</v>
      </c>
      <c r="F37" s="42">
        <f t="shared" si="6"/>
        <v>670154.25</v>
      </c>
      <c r="G37" s="42">
        <f t="shared" si="6"/>
        <v>670154.25</v>
      </c>
      <c r="H37" s="163">
        <f>(2298000*'5. Manufacturing'!$L$15)+2298000</f>
        <v>2680617</v>
      </c>
    </row>
    <row r="38">
      <c r="B38" s="316" t="s">
        <v>221</v>
      </c>
      <c r="D38" s="42">
        <f t="shared" ref="D38:G38" si="7">$H38/4</f>
        <v>2845093.5</v>
      </c>
      <c r="E38" s="42">
        <f t="shared" si="7"/>
        <v>2845093.5</v>
      </c>
      <c r="F38" s="42">
        <f t="shared" si="7"/>
        <v>2845093.5</v>
      </c>
      <c r="G38" s="42">
        <f t="shared" si="7"/>
        <v>2845093.5</v>
      </c>
      <c r="H38" s="163">
        <f>(9756000*'5. Manufacturing'!$L$15)+9756000</f>
        <v>11380374</v>
      </c>
    </row>
    <row r="39">
      <c r="B39" s="316" t="s">
        <v>222</v>
      </c>
      <c r="D39" s="42">
        <f t="shared" ref="D39:G39" si="8">$H39/4</f>
        <v>1388250</v>
      </c>
      <c r="E39" s="42">
        <f t="shared" si="8"/>
        <v>1388250</v>
      </c>
      <c r="F39" s="42">
        <f t="shared" si="8"/>
        <v>1388250</v>
      </c>
      <c r="G39" s="42">
        <f t="shared" si="8"/>
        <v>1388250</v>
      </c>
      <c r="H39" s="395">
        <v>5553000.0</v>
      </c>
    </row>
    <row r="40">
      <c r="B40" s="463"/>
      <c r="C40" s="236"/>
      <c r="D40" s="236"/>
      <c r="E40" s="236"/>
      <c r="F40" s="236"/>
      <c r="G40" s="236"/>
      <c r="H40" s="237"/>
    </row>
    <row r="41">
      <c r="B41" s="501" t="s">
        <v>263</v>
      </c>
      <c r="C41" s="227"/>
      <c r="D41" s="342">
        <f t="shared" ref="D41:H41" si="9">sum(D27:D32,D35:D39)</f>
        <v>1656388167</v>
      </c>
      <c r="E41" s="342">
        <f t="shared" si="9"/>
        <v>4744736458</v>
      </c>
      <c r="F41" s="342">
        <f t="shared" si="9"/>
        <v>5236241.875</v>
      </c>
      <c r="G41" s="342">
        <f t="shared" si="9"/>
        <v>5236241.875</v>
      </c>
      <c r="H41" s="343">
        <f t="shared" si="9"/>
        <v>6411597108</v>
      </c>
    </row>
    <row r="42">
      <c r="B42" s="463"/>
      <c r="C42" s="236"/>
      <c r="D42" s="236"/>
      <c r="E42" s="236"/>
      <c r="F42" s="236"/>
      <c r="G42" s="236"/>
      <c r="H42" s="237"/>
    </row>
    <row r="43">
      <c r="B43" s="496" t="s">
        <v>264</v>
      </c>
      <c r="C43" s="227"/>
      <c r="D43" s="497"/>
      <c r="E43" s="497"/>
      <c r="F43" s="497"/>
      <c r="G43" s="497"/>
      <c r="H43" s="498"/>
    </row>
    <row r="44">
      <c r="B44" s="449" t="s">
        <v>203</v>
      </c>
      <c r="C44" s="20"/>
      <c r="D44" s="20"/>
      <c r="E44" s="20"/>
      <c r="F44" s="20"/>
      <c r="G44" s="20"/>
      <c r="H44" s="21"/>
    </row>
    <row r="45">
      <c r="B45" s="477" t="s">
        <v>228</v>
      </c>
      <c r="H45" s="168"/>
    </row>
    <row r="46">
      <c r="B46" s="473" t="s">
        <v>229</v>
      </c>
      <c r="C46" s="227"/>
      <c r="D46" s="474">
        <f>'6. Admin Expense'!$D$9*H46</f>
        <v>1395719.171</v>
      </c>
      <c r="E46" s="474">
        <f>'6. Admin Expense'!$E$9*H46</f>
        <v>4249307.625</v>
      </c>
      <c r="F46" s="475">
        <v>0.0</v>
      </c>
      <c r="G46" s="475">
        <v>0.0</v>
      </c>
      <c r="H46" s="476">
        <f>(5427000*'6. Admin Expense'!$L$5)+5427000</f>
        <v>5645026.796</v>
      </c>
    </row>
    <row r="47">
      <c r="B47" s="477" t="s">
        <v>230</v>
      </c>
      <c r="H47" s="168"/>
    </row>
    <row r="48">
      <c r="B48" s="478" t="s">
        <v>231</v>
      </c>
      <c r="C48" s="3"/>
      <c r="D48" s="57">
        <f t="shared" ref="D48:G48" si="10">$H48/4</f>
        <v>1031332.977</v>
      </c>
      <c r="E48" s="57">
        <f t="shared" si="10"/>
        <v>1031332.977</v>
      </c>
      <c r="F48" s="57">
        <f t="shared" si="10"/>
        <v>1031332.977</v>
      </c>
      <c r="G48" s="57">
        <f t="shared" si="10"/>
        <v>1031332.977</v>
      </c>
      <c r="H48" s="479">
        <f>(3966000*'6. Admin Expense'!$L$5)+3966000</f>
        <v>4125331.91</v>
      </c>
    </row>
    <row r="49">
      <c r="B49" s="316" t="s">
        <v>233</v>
      </c>
      <c r="D49" s="57">
        <f t="shared" ref="D49:G49" si="11">$H49/4</f>
        <v>704198.1096</v>
      </c>
      <c r="E49" s="57">
        <f t="shared" si="11"/>
        <v>704198.1096</v>
      </c>
      <c r="F49" s="57">
        <f t="shared" si="11"/>
        <v>704198.1096</v>
      </c>
      <c r="G49" s="57">
        <f t="shared" si="11"/>
        <v>704198.1096</v>
      </c>
      <c r="H49" s="395">
        <f>(2708000*'6. Admin Expense'!$L$5)+2708000</f>
        <v>2816792.439</v>
      </c>
    </row>
    <row r="50">
      <c r="B50" s="316" t="s">
        <v>213</v>
      </c>
      <c r="D50" s="57">
        <f t="shared" ref="D50:G50" si="12">$H50/4</f>
        <v>1417497.746</v>
      </c>
      <c r="E50" s="57">
        <f t="shared" si="12"/>
        <v>1417497.746</v>
      </c>
      <c r="F50" s="57">
        <f t="shared" si="12"/>
        <v>1417497.746</v>
      </c>
      <c r="G50" s="57">
        <f t="shared" si="12"/>
        <v>1417497.746</v>
      </c>
      <c r="H50" s="395">
        <f>(5451000*'6. Admin Expense'!$L$5)+5451000</f>
        <v>5669990.983</v>
      </c>
    </row>
    <row r="51">
      <c r="B51" s="447"/>
      <c r="C51" s="227"/>
      <c r="D51" s="227"/>
      <c r="E51" s="227"/>
      <c r="F51" s="227"/>
      <c r="G51" s="227"/>
      <c r="H51" s="228"/>
    </row>
    <row r="52">
      <c r="B52" s="449" t="s">
        <v>217</v>
      </c>
      <c r="C52" s="20"/>
      <c r="D52" s="20"/>
      <c r="E52" s="20"/>
      <c r="F52" s="20"/>
      <c r="G52" s="20"/>
      <c r="H52" s="21"/>
    </row>
    <row r="53">
      <c r="B53" s="472" t="s">
        <v>228</v>
      </c>
      <c r="C53" s="20"/>
      <c r="D53" s="20"/>
      <c r="E53" s="20"/>
      <c r="F53" s="20"/>
      <c r="G53" s="20"/>
      <c r="H53" s="21"/>
    </row>
    <row r="54">
      <c r="B54" s="316" t="s">
        <v>218</v>
      </c>
      <c r="D54" s="57">
        <f t="shared" ref="D54:G54" si="13">$H54/4</f>
        <v>1294815</v>
      </c>
      <c r="E54" s="57">
        <f t="shared" si="13"/>
        <v>1294815</v>
      </c>
      <c r="F54" s="57">
        <f t="shared" si="13"/>
        <v>1294815</v>
      </c>
      <c r="G54" s="57">
        <f t="shared" si="13"/>
        <v>1294815</v>
      </c>
      <c r="H54" s="395">
        <f>(4440000*'6. Admin Expense'!$L$15)+4440000</f>
        <v>5179260</v>
      </c>
    </row>
    <row r="55">
      <c r="B55" s="316" t="s">
        <v>220</v>
      </c>
      <c r="D55" s="57">
        <f t="shared" ref="D55:G55" si="14">$H55/4</f>
        <v>11956.625</v>
      </c>
      <c r="E55" s="57">
        <f t="shared" si="14"/>
        <v>11956.625</v>
      </c>
      <c r="F55" s="57">
        <f t="shared" si="14"/>
        <v>11956.625</v>
      </c>
      <c r="G55" s="57">
        <f t="shared" si="14"/>
        <v>11956.625</v>
      </c>
      <c r="H55" s="395">
        <f>(41000*'6. Admin Expense'!$L$15)+41000</f>
        <v>47826.5</v>
      </c>
    </row>
    <row r="56">
      <c r="B56" s="316" t="s">
        <v>222</v>
      </c>
      <c r="D56" s="57">
        <f t="shared" ref="D56:G56" si="15">$H56/4</f>
        <v>1016896.375</v>
      </c>
      <c r="E56" s="57">
        <f t="shared" si="15"/>
        <v>1016896.375</v>
      </c>
      <c r="F56" s="57">
        <f t="shared" si="15"/>
        <v>1016896.375</v>
      </c>
      <c r="G56" s="57">
        <f t="shared" si="15"/>
        <v>1016896.375</v>
      </c>
      <c r="H56" s="163">
        <f>(3487000*'6. Admin Expense'!$L$15)+3487000</f>
        <v>4067585.5</v>
      </c>
    </row>
    <row r="57">
      <c r="B57" s="477" t="s">
        <v>235</v>
      </c>
      <c r="H57" s="168"/>
    </row>
    <row r="58">
      <c r="B58" s="316" t="s">
        <v>218</v>
      </c>
      <c r="D58" s="57">
        <f t="shared" ref="D58:G58" si="16">$H58/4</f>
        <v>58414237.25</v>
      </c>
      <c r="E58" s="57">
        <f t="shared" si="16"/>
        <v>58414237.25</v>
      </c>
      <c r="F58" s="57">
        <f t="shared" si="16"/>
        <v>58414237.25</v>
      </c>
      <c r="G58" s="57">
        <f t="shared" si="16"/>
        <v>58414237.25</v>
      </c>
      <c r="H58" s="163">
        <f>('6. Admin Expense'!$L$15*200306000)+200306000</f>
        <v>233656949</v>
      </c>
    </row>
    <row r="59">
      <c r="B59" s="316" t="s">
        <v>220</v>
      </c>
      <c r="D59" s="57">
        <f t="shared" ref="D59:G59" si="17">$H59/4</f>
        <v>820049.5</v>
      </c>
      <c r="E59" s="57">
        <f t="shared" si="17"/>
        <v>820049.5</v>
      </c>
      <c r="F59" s="57">
        <f t="shared" si="17"/>
        <v>820049.5</v>
      </c>
      <c r="G59" s="57">
        <f t="shared" si="17"/>
        <v>820049.5</v>
      </c>
      <c r="H59" s="163">
        <f>('6. Admin Expense'!$L$15*2812000)+2812000</f>
        <v>3280198</v>
      </c>
    </row>
    <row r="60">
      <c r="B60" s="316" t="s">
        <v>236</v>
      </c>
      <c r="D60" s="57">
        <f t="shared" ref="D60:G60" si="18">$H60/4</f>
        <v>361615</v>
      </c>
      <c r="E60" s="57">
        <f t="shared" si="18"/>
        <v>361615</v>
      </c>
      <c r="F60" s="57">
        <f t="shared" si="18"/>
        <v>361615</v>
      </c>
      <c r="G60" s="57">
        <f t="shared" si="18"/>
        <v>361615</v>
      </c>
      <c r="H60" s="163">
        <f>('6. Admin Expense'!$L$15*1240000)+1240000</f>
        <v>1446460</v>
      </c>
    </row>
    <row r="61">
      <c r="B61" s="316" t="s">
        <v>237</v>
      </c>
      <c r="D61" s="57">
        <f t="shared" ref="D61:G61" si="19">$H61/4</f>
        <v>874000.125</v>
      </c>
      <c r="E61" s="57">
        <f t="shared" si="19"/>
        <v>874000.125</v>
      </c>
      <c r="F61" s="57">
        <f t="shared" si="19"/>
        <v>874000.125</v>
      </c>
      <c r="G61" s="57">
        <f t="shared" si="19"/>
        <v>874000.125</v>
      </c>
      <c r="H61" s="163">
        <f>('6. Admin Expense'!$L$15*2997000)+2997000</f>
        <v>3496000.5</v>
      </c>
    </row>
    <row r="62">
      <c r="B62" s="316" t="s">
        <v>238</v>
      </c>
      <c r="D62" s="57">
        <f t="shared" ref="D62:G62" si="20">$H62/4</f>
        <v>552337.75</v>
      </c>
      <c r="E62" s="57">
        <f t="shared" si="20"/>
        <v>552337.75</v>
      </c>
      <c r="F62" s="57">
        <f t="shared" si="20"/>
        <v>552337.75</v>
      </c>
      <c r="G62" s="57">
        <f t="shared" si="20"/>
        <v>552337.75</v>
      </c>
      <c r="H62" s="163">
        <f>('6. Admin Expense'!$L$15*1894000)+1894000</f>
        <v>2209351</v>
      </c>
    </row>
    <row r="63">
      <c r="B63" s="316" t="s">
        <v>222</v>
      </c>
      <c r="D63" s="57">
        <f t="shared" ref="D63:G63" si="21">$H63/4</f>
        <v>298332.375</v>
      </c>
      <c r="E63" s="57">
        <f t="shared" si="21"/>
        <v>298332.375</v>
      </c>
      <c r="F63" s="57">
        <f t="shared" si="21"/>
        <v>298332.375</v>
      </c>
      <c r="G63" s="57">
        <f t="shared" si="21"/>
        <v>298332.375</v>
      </c>
      <c r="H63" s="163">
        <f>('6. Admin Expense'!$L$15*1023000)+1023000</f>
        <v>1193329.5</v>
      </c>
    </row>
    <row r="64">
      <c r="B64" s="316" t="s">
        <v>239</v>
      </c>
      <c r="D64" s="57">
        <f t="shared" ref="D64:G64" si="22">$H64/4</f>
        <v>83988</v>
      </c>
      <c r="E64" s="57">
        <f t="shared" si="22"/>
        <v>83988</v>
      </c>
      <c r="F64" s="57">
        <f t="shared" si="22"/>
        <v>83988</v>
      </c>
      <c r="G64" s="57">
        <f t="shared" si="22"/>
        <v>83988</v>
      </c>
      <c r="H64" s="163">
        <f>('6. Admin Expense'!$L$15*288000)+288000</f>
        <v>335952</v>
      </c>
    </row>
    <row r="65">
      <c r="B65" s="316" t="s">
        <v>240</v>
      </c>
      <c r="D65" s="57">
        <f t="shared" ref="D65:G65" si="23">$H65/4</f>
        <v>321079.125</v>
      </c>
      <c r="E65" s="57">
        <f t="shared" si="23"/>
        <v>321079.125</v>
      </c>
      <c r="F65" s="57">
        <f t="shared" si="23"/>
        <v>321079.125</v>
      </c>
      <c r="G65" s="57">
        <f t="shared" si="23"/>
        <v>321079.125</v>
      </c>
      <c r="H65" s="163">
        <f>('6. Admin Expense'!$L$15*1101000)+1101000</f>
        <v>1284316.5</v>
      </c>
    </row>
    <row r="66">
      <c r="B66" s="316" t="s">
        <v>241</v>
      </c>
      <c r="D66" s="57">
        <f t="shared" ref="D66:G66" si="24">$H66/4</f>
        <v>665196.625</v>
      </c>
      <c r="E66" s="57">
        <f t="shared" si="24"/>
        <v>665196.625</v>
      </c>
      <c r="F66" s="57">
        <f t="shared" si="24"/>
        <v>665196.625</v>
      </c>
      <c r="G66" s="57">
        <f t="shared" si="24"/>
        <v>665196.625</v>
      </c>
      <c r="H66" s="163">
        <f>('6. Admin Expense'!$L$15*2281000)+2281000</f>
        <v>2660786.5</v>
      </c>
    </row>
    <row r="67">
      <c r="B67" s="316" t="s">
        <v>242</v>
      </c>
      <c r="D67" s="57">
        <f t="shared" ref="D67:G67" si="25">$H67/4</f>
        <v>2849467.875</v>
      </c>
      <c r="E67" s="57">
        <f t="shared" si="25"/>
        <v>2849467.875</v>
      </c>
      <c r="F67" s="57">
        <f t="shared" si="25"/>
        <v>2849467.875</v>
      </c>
      <c r="G67" s="57">
        <f t="shared" si="25"/>
        <v>2849467.875</v>
      </c>
      <c r="H67" s="163">
        <f>('6. Admin Expense'!$L$15*9771000)+9771000</f>
        <v>11397871.5</v>
      </c>
    </row>
    <row r="68">
      <c r="B68" s="316" t="s">
        <v>243</v>
      </c>
      <c r="D68" s="57">
        <f t="shared" ref="D68:G68" si="26">$H68/4</f>
        <v>166226.25</v>
      </c>
      <c r="E68" s="57">
        <f t="shared" si="26"/>
        <v>166226.25</v>
      </c>
      <c r="F68" s="57">
        <f t="shared" si="26"/>
        <v>166226.25</v>
      </c>
      <c r="G68" s="57">
        <f t="shared" si="26"/>
        <v>166226.25</v>
      </c>
      <c r="H68" s="163">
        <f>('6. Admin Expense'!$L$15*570000)+570000</f>
        <v>664905</v>
      </c>
    </row>
    <row r="69">
      <c r="B69" s="316" t="s">
        <v>244</v>
      </c>
      <c r="D69" s="57">
        <f t="shared" ref="D69:G69" si="27">$H69/4</f>
        <v>2883004.75</v>
      </c>
      <c r="E69" s="57">
        <f t="shared" si="27"/>
        <v>2883004.75</v>
      </c>
      <c r="F69" s="57">
        <f t="shared" si="27"/>
        <v>2883004.75</v>
      </c>
      <c r="G69" s="57">
        <f t="shared" si="27"/>
        <v>2883004.75</v>
      </c>
      <c r="H69" s="163">
        <f>('6. Admin Expense'!$L$15*9886000)+9886000</f>
        <v>11532019</v>
      </c>
    </row>
    <row r="70">
      <c r="B70" s="447"/>
      <c r="C70" s="227"/>
      <c r="D70" s="227"/>
      <c r="E70" s="227"/>
      <c r="F70" s="227"/>
      <c r="G70" s="227"/>
      <c r="H70" s="228"/>
    </row>
    <row r="71">
      <c r="B71" s="501" t="s">
        <v>265</v>
      </c>
      <c r="C71" s="227"/>
      <c r="D71" s="342">
        <f t="shared" ref="D71:H71" si="28">sum(D46,D48:D50,D54:D56,D58:D69)</f>
        <v>75161950.63</v>
      </c>
      <c r="E71" s="342">
        <f t="shared" si="28"/>
        <v>78015539.08</v>
      </c>
      <c r="F71" s="342">
        <f t="shared" si="28"/>
        <v>73766231.46</v>
      </c>
      <c r="G71" s="342">
        <f t="shared" si="28"/>
        <v>73766231.46</v>
      </c>
      <c r="H71" s="343">
        <f t="shared" si="28"/>
        <v>300709952.6</v>
      </c>
    </row>
    <row r="72">
      <c r="B72" s="267"/>
      <c r="C72" s="197"/>
      <c r="D72" s="197"/>
      <c r="E72" s="197"/>
      <c r="F72" s="197"/>
      <c r="G72" s="197"/>
      <c r="H72" s="352"/>
    </row>
    <row r="73">
      <c r="B73" s="464" t="s">
        <v>266</v>
      </c>
      <c r="D73" s="349">
        <f t="shared" ref="D73:H73" si="29">D71+D41+D18</f>
        <v>1731550117</v>
      </c>
      <c r="E73" s="349">
        <f t="shared" si="29"/>
        <v>4822751997</v>
      </c>
      <c r="F73" s="349">
        <f t="shared" si="29"/>
        <v>79002473.33</v>
      </c>
      <c r="G73" s="349">
        <f t="shared" si="29"/>
        <v>79002473.33</v>
      </c>
      <c r="H73" s="351">
        <f t="shared" si="29"/>
        <v>6712307061</v>
      </c>
    </row>
    <row r="74">
      <c r="B74" s="465"/>
      <c r="C74" s="227"/>
      <c r="D74" s="6"/>
      <c r="E74" s="6"/>
      <c r="F74" s="6"/>
      <c r="G74" s="6"/>
      <c r="H74" s="266"/>
    </row>
    <row r="75">
      <c r="B75" s="490"/>
      <c r="C75" s="491"/>
      <c r="D75" s="491"/>
      <c r="E75" s="491"/>
      <c r="F75" s="491"/>
      <c r="G75" s="491"/>
      <c r="H75" s="492"/>
    </row>
  </sheetData>
  <mergeCells count="92">
    <mergeCell ref="B25:C25"/>
    <mergeCell ref="B27:C27"/>
    <mergeCell ref="B28:C28"/>
    <mergeCell ref="B29:C29"/>
    <mergeCell ref="B30:C30"/>
    <mergeCell ref="B31:C31"/>
    <mergeCell ref="B32:C32"/>
    <mergeCell ref="B46:C46"/>
    <mergeCell ref="B48:C48"/>
    <mergeCell ref="B49:C49"/>
    <mergeCell ref="B50:C50"/>
    <mergeCell ref="B35:C35"/>
    <mergeCell ref="B36:C36"/>
    <mergeCell ref="B37:C37"/>
    <mergeCell ref="B38:C38"/>
    <mergeCell ref="B39:C39"/>
    <mergeCell ref="B41:C41"/>
    <mergeCell ref="B43:C43"/>
    <mergeCell ref="B51:H51"/>
    <mergeCell ref="B52:H52"/>
    <mergeCell ref="B53:H53"/>
    <mergeCell ref="B54:C54"/>
    <mergeCell ref="B55:C55"/>
    <mergeCell ref="B56:C56"/>
    <mergeCell ref="B57:H57"/>
    <mergeCell ref="B58:C58"/>
    <mergeCell ref="B59:C59"/>
    <mergeCell ref="B60:C60"/>
    <mergeCell ref="B61:C61"/>
    <mergeCell ref="B62:C62"/>
    <mergeCell ref="B63:C63"/>
    <mergeCell ref="B64:C64"/>
    <mergeCell ref="B71:C71"/>
    <mergeCell ref="B73:C74"/>
    <mergeCell ref="D73:D74"/>
    <mergeCell ref="E73:E74"/>
    <mergeCell ref="F73:F74"/>
    <mergeCell ref="G73:G74"/>
    <mergeCell ref="H73:H74"/>
    <mergeCell ref="B75:H75"/>
    <mergeCell ref="B65:C65"/>
    <mergeCell ref="B66:C66"/>
    <mergeCell ref="B67:C67"/>
    <mergeCell ref="B68:C68"/>
    <mergeCell ref="B69:C69"/>
    <mergeCell ref="B70:H70"/>
    <mergeCell ref="B72:H72"/>
    <mergeCell ref="F8:F9"/>
    <mergeCell ref="G8:G9"/>
    <mergeCell ref="B3:H4"/>
    <mergeCell ref="B5:C6"/>
    <mergeCell ref="H5:H6"/>
    <mergeCell ref="B7:H7"/>
    <mergeCell ref="D8:D9"/>
    <mergeCell ref="E8:E9"/>
    <mergeCell ref="H8:H9"/>
    <mergeCell ref="B10:H10"/>
    <mergeCell ref="B8:C8"/>
    <mergeCell ref="B9:C9"/>
    <mergeCell ref="D11:D13"/>
    <mergeCell ref="E11:E13"/>
    <mergeCell ref="F11:F13"/>
    <mergeCell ref="G11:G13"/>
    <mergeCell ref="H11:H13"/>
    <mergeCell ref="B11:C12"/>
    <mergeCell ref="D14:D15"/>
    <mergeCell ref="E14:E15"/>
    <mergeCell ref="F14:F15"/>
    <mergeCell ref="G14:G15"/>
    <mergeCell ref="H14:H15"/>
    <mergeCell ref="B16:H16"/>
    <mergeCell ref="B14:C14"/>
    <mergeCell ref="B17:C18"/>
    <mergeCell ref="D17:D18"/>
    <mergeCell ref="E17:E18"/>
    <mergeCell ref="F17:F18"/>
    <mergeCell ref="G17:G18"/>
    <mergeCell ref="H17:H18"/>
    <mergeCell ref="B19:H19"/>
    <mergeCell ref="B20:H20"/>
    <mergeCell ref="B21:H21"/>
    <mergeCell ref="B22:C22"/>
    <mergeCell ref="B23:C23"/>
    <mergeCell ref="B24:H24"/>
    <mergeCell ref="B26:H26"/>
    <mergeCell ref="B33:H33"/>
    <mergeCell ref="B34:H34"/>
    <mergeCell ref="B40:H40"/>
    <mergeCell ref="B42:H42"/>
    <mergeCell ref="B44:H44"/>
    <mergeCell ref="B45:H45"/>
    <mergeCell ref="B47:H4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5.88"/>
    <col customWidth="1" min="9" max="9" width="7.5"/>
  </cols>
  <sheetData>
    <row r="3">
      <c r="B3" s="466" t="s">
        <v>267</v>
      </c>
      <c r="C3" s="166"/>
      <c r="D3" s="166"/>
      <c r="E3" s="166"/>
      <c r="F3" s="166"/>
      <c r="G3" s="166"/>
      <c r="H3" s="167"/>
      <c r="I3" s="57"/>
      <c r="J3" s="200" t="s">
        <v>268</v>
      </c>
      <c r="K3" s="54"/>
      <c r="L3" s="54"/>
      <c r="M3" s="54"/>
      <c r="N3" s="54"/>
      <c r="O3" s="201"/>
    </row>
    <row r="4">
      <c r="B4" s="18"/>
      <c r="H4" s="168"/>
      <c r="I4" s="57"/>
      <c r="J4" s="502" t="s">
        <v>269</v>
      </c>
      <c r="K4" s="227"/>
      <c r="L4" s="503"/>
      <c r="M4" s="504"/>
      <c r="N4" s="504"/>
      <c r="O4" s="163"/>
    </row>
    <row r="5">
      <c r="B5" s="264"/>
      <c r="D5" s="171" t="s">
        <v>77</v>
      </c>
      <c r="E5" s="171" t="s">
        <v>78</v>
      </c>
      <c r="F5" s="171" t="s">
        <v>79</v>
      </c>
      <c r="G5" s="171" t="s">
        <v>80</v>
      </c>
      <c r="H5" s="172" t="s">
        <v>81</v>
      </c>
      <c r="I5" s="162" t="s">
        <v>102</v>
      </c>
      <c r="J5" s="311" t="s">
        <v>270</v>
      </c>
      <c r="K5" s="236"/>
      <c r="L5" s="236"/>
      <c r="M5" s="236"/>
      <c r="N5" s="236"/>
      <c r="O5" s="237"/>
    </row>
    <row r="6">
      <c r="B6" s="18"/>
      <c r="D6" s="445" t="s">
        <v>82</v>
      </c>
      <c r="E6" s="445" t="s">
        <v>83</v>
      </c>
      <c r="F6" s="445" t="s">
        <v>84</v>
      </c>
      <c r="G6" s="445" t="s">
        <v>85</v>
      </c>
      <c r="H6" s="21"/>
      <c r="I6" s="162" t="s">
        <v>102</v>
      </c>
      <c r="J6" s="226" t="s">
        <v>271</v>
      </c>
      <c r="K6" s="227"/>
      <c r="L6" s="227"/>
      <c r="M6" s="57"/>
      <c r="N6" s="57"/>
      <c r="O6" s="163"/>
    </row>
    <row r="7">
      <c r="B7" s="447"/>
      <c r="C7" s="227"/>
      <c r="D7" s="227"/>
      <c r="E7" s="227"/>
      <c r="F7" s="227"/>
      <c r="G7" s="227"/>
      <c r="H7" s="228"/>
      <c r="I7" s="57"/>
      <c r="J7" s="406" t="s">
        <v>183</v>
      </c>
      <c r="K7" s="407" t="s">
        <v>272</v>
      </c>
      <c r="L7" s="505" t="s">
        <v>38</v>
      </c>
      <c r="M7" s="57"/>
      <c r="N7" s="57"/>
      <c r="O7" s="163"/>
    </row>
    <row r="8">
      <c r="B8" s="506" t="s">
        <v>273</v>
      </c>
      <c r="C8" s="227"/>
      <c r="D8" s="57">
        <f>'7. Cash Reciept'!D16</f>
        <v>1283406794</v>
      </c>
      <c r="E8" s="57">
        <f>'7. Cash Reciept'!E16</f>
        <v>2419886325</v>
      </c>
      <c r="F8" s="57">
        <f>'7. Cash Reciept'!F16</f>
        <v>1672668854</v>
      </c>
      <c r="G8" s="57">
        <f>'7. Cash Reciept'!G16</f>
        <v>2067120754</v>
      </c>
      <c r="H8" s="163">
        <f>'7. Cash Reciept'!H16</f>
        <v>7443082727</v>
      </c>
      <c r="I8" s="57"/>
      <c r="J8" s="409" t="s">
        <v>57</v>
      </c>
      <c r="K8" s="507">
        <v>4.79564E8</v>
      </c>
      <c r="L8" s="508">
        <f>(K8/K9)-1</f>
        <v>0.01573060362</v>
      </c>
      <c r="M8" s="57"/>
      <c r="N8" s="57"/>
      <c r="O8" s="163"/>
    </row>
    <row r="9">
      <c r="B9" s="260" t="s">
        <v>274</v>
      </c>
      <c r="H9" s="168"/>
      <c r="I9" s="57"/>
      <c r="J9" s="420" t="s">
        <v>157</v>
      </c>
      <c r="K9" s="509">
        <v>4.72137E8</v>
      </c>
      <c r="L9" s="47"/>
      <c r="M9" s="57"/>
      <c r="N9" s="57"/>
      <c r="O9" s="163"/>
    </row>
    <row r="10">
      <c r="B10" s="245" t="s">
        <v>275</v>
      </c>
      <c r="D10" s="510"/>
      <c r="E10" s="511"/>
      <c r="F10" s="511"/>
      <c r="G10" s="511"/>
      <c r="H10" s="512"/>
      <c r="I10" s="57"/>
      <c r="J10" s="513"/>
      <c r="K10" s="514" t="s">
        <v>100</v>
      </c>
      <c r="L10" s="514" t="s">
        <v>14</v>
      </c>
      <c r="M10" s="515" t="s">
        <v>15</v>
      </c>
      <c r="N10" s="515" t="s">
        <v>16</v>
      </c>
      <c r="O10" s="516" t="s">
        <v>17</v>
      </c>
    </row>
    <row r="11">
      <c r="B11" s="506" t="s">
        <v>276</v>
      </c>
      <c r="C11" s="227"/>
      <c r="D11" s="57">
        <f>'8. Cash Disbursement'!D73</f>
        <v>1731550117</v>
      </c>
      <c r="E11" s="57">
        <f>'8. Cash Disbursement'!E73</f>
        <v>4822751997</v>
      </c>
      <c r="F11" s="57">
        <f>'8. Cash Disbursement'!F73</f>
        <v>79002473.33</v>
      </c>
      <c r="G11" s="57">
        <f>'8. Cash Disbursement'!G73</f>
        <v>79002473.33</v>
      </c>
      <c r="H11" s="163">
        <f>'8. Cash Disbursement'!H73</f>
        <v>6712307061</v>
      </c>
      <c r="I11" s="57"/>
      <c r="J11" s="517" t="s">
        <v>277</v>
      </c>
      <c r="K11" s="518">
        <f t="shared" ref="K11:N11" si="1">$O$11/4</f>
        <v>121776957.8</v>
      </c>
      <c r="L11" s="518">
        <f t="shared" si="1"/>
        <v>121776957.8</v>
      </c>
      <c r="M11" s="518">
        <f t="shared" si="1"/>
        <v>121776957.8</v>
      </c>
      <c r="N11" s="518">
        <f t="shared" si="1"/>
        <v>121776957.8</v>
      </c>
      <c r="O11" s="519">
        <f>(K8*L8)+K8</f>
        <v>487107831.2</v>
      </c>
    </row>
    <row r="12">
      <c r="B12" s="260" t="s">
        <v>278</v>
      </c>
      <c r="H12" s="168"/>
      <c r="I12" s="57"/>
      <c r="J12" s="520"/>
      <c r="O12" s="168"/>
    </row>
    <row r="13">
      <c r="B13" s="521" t="s">
        <v>279</v>
      </c>
      <c r="C13" s="3"/>
      <c r="D13" s="522">
        <f t="shared" ref="D13:H13" si="2">(D8-D11)</f>
        <v>-448143323.6</v>
      </c>
      <c r="E13" s="522">
        <f t="shared" si="2"/>
        <v>-2402865672</v>
      </c>
      <c r="F13" s="522">
        <f t="shared" si="2"/>
        <v>1593666381</v>
      </c>
      <c r="G13" s="522">
        <f t="shared" si="2"/>
        <v>1988118280</v>
      </c>
      <c r="H13" s="523">
        <f t="shared" si="2"/>
        <v>730775666.2</v>
      </c>
      <c r="I13" s="57"/>
      <c r="J13" s="520"/>
      <c r="O13" s="168"/>
    </row>
    <row r="14">
      <c r="B14" s="18"/>
      <c r="D14" s="6"/>
      <c r="E14" s="6"/>
      <c r="F14" s="6"/>
      <c r="G14" s="6"/>
      <c r="H14" s="266"/>
      <c r="I14" s="57"/>
      <c r="J14" s="524" t="s">
        <v>280</v>
      </c>
      <c r="K14" s="525">
        <f>'9. Cash Budget'!$D$13-K12</f>
        <v>-448143323.6</v>
      </c>
      <c r="L14" s="525">
        <f>'9. Cash Budget'!$E$13-L12</f>
        <v>-2402865672</v>
      </c>
      <c r="M14" s="525">
        <f>'9. Cash Budget'!$D$13-M12</f>
        <v>-448143323.6</v>
      </c>
      <c r="N14" s="525">
        <f>'9. Cash Budget'!$E$13-N12</f>
        <v>-2402865672</v>
      </c>
      <c r="O14" s="526">
        <f>'9. Cash Budget'!$D$13-O12</f>
        <v>-448143323.6</v>
      </c>
    </row>
    <row r="15">
      <c r="B15" s="527"/>
      <c r="C15" s="528"/>
      <c r="D15" s="529"/>
      <c r="E15" s="530"/>
      <c r="F15" s="530"/>
      <c r="G15" s="530"/>
      <c r="H15" s="531"/>
      <c r="I15" s="532"/>
      <c r="O15" s="533"/>
    </row>
    <row r="16">
      <c r="B16" s="260" t="s">
        <v>281</v>
      </c>
      <c r="D16" s="534">
        <v>5.0E8</v>
      </c>
      <c r="E16" s="534">
        <v>2.5E9</v>
      </c>
      <c r="F16" s="534">
        <v>0.0</v>
      </c>
      <c r="G16" s="534">
        <v>0.0</v>
      </c>
      <c r="H16" s="535">
        <f>Sum(D16:E16)</f>
        <v>3000000000</v>
      </c>
      <c r="I16" s="162" t="s">
        <v>102</v>
      </c>
      <c r="J16" s="311" t="s">
        <v>282</v>
      </c>
      <c r="K16" s="236"/>
      <c r="L16" s="236"/>
      <c r="M16" s="536">
        <v>0.0975</v>
      </c>
      <c r="N16" s="57"/>
      <c r="O16" s="533"/>
    </row>
    <row r="17">
      <c r="B17" s="527"/>
      <c r="C17" s="528"/>
      <c r="D17" s="529"/>
      <c r="E17" s="530"/>
      <c r="F17" s="530"/>
      <c r="G17" s="530"/>
      <c r="H17" s="531"/>
      <c r="I17" s="162" t="s">
        <v>102</v>
      </c>
      <c r="J17" s="537" t="s">
        <v>283</v>
      </c>
      <c r="K17" s="3"/>
      <c r="L17" s="3"/>
      <c r="M17" s="538">
        <v>0.1225</v>
      </c>
      <c r="O17" s="533"/>
    </row>
    <row r="18">
      <c r="B18" s="539" t="s">
        <v>284</v>
      </c>
      <c r="D18" s="540">
        <f>-'9. Cash Budget'!K11</f>
        <v>-121776957.8</v>
      </c>
      <c r="E18" s="540">
        <f>-'9. Cash Budget'!L11</f>
        <v>-121776957.8</v>
      </c>
      <c r="F18" s="540">
        <f>-'9. Cash Budget'!M11</f>
        <v>-121776957.8</v>
      </c>
      <c r="G18" s="540">
        <f>-'9. Cash Budget'!N11</f>
        <v>-121776957.8</v>
      </c>
      <c r="H18" s="541">
        <f>-'9. Cash Budget'!O11</f>
        <v>-487107831.2</v>
      </c>
      <c r="I18" s="57"/>
      <c r="J18" s="200" t="s">
        <v>285</v>
      </c>
      <c r="K18" s="54"/>
      <c r="L18" s="54"/>
      <c r="M18" s="54"/>
      <c r="N18" s="74"/>
      <c r="O18" s="533"/>
    </row>
    <row r="19">
      <c r="B19" s="542" t="s">
        <v>286</v>
      </c>
      <c r="C19" s="3"/>
      <c r="D19" s="543">
        <f t="shared" ref="D19:G19" si="3">-$D$16/4</f>
        <v>-125000000</v>
      </c>
      <c r="E19" s="543">
        <f t="shared" si="3"/>
        <v>-125000000</v>
      </c>
      <c r="F19" s="543">
        <f t="shared" si="3"/>
        <v>-125000000</v>
      </c>
      <c r="G19" s="543">
        <f t="shared" si="3"/>
        <v>-125000000</v>
      </c>
      <c r="H19" s="544">
        <f>(D19*4)</f>
        <v>-500000000</v>
      </c>
      <c r="I19" s="57"/>
      <c r="J19" s="545" t="s">
        <v>287</v>
      </c>
      <c r="K19" s="227"/>
      <c r="L19" s="227"/>
      <c r="M19" s="227"/>
      <c r="N19" s="503"/>
      <c r="O19" s="163"/>
    </row>
    <row r="20">
      <c r="B20" s="546" t="s">
        <v>288</v>
      </c>
      <c r="C20" s="227"/>
      <c r="D20" s="547">
        <v>0.0</v>
      </c>
      <c r="E20" s="340">
        <f t="shared" ref="E20:G20" si="4">-$E$16/8</f>
        <v>-312500000</v>
      </c>
      <c r="F20" s="340">
        <f t="shared" si="4"/>
        <v>-312500000</v>
      </c>
      <c r="G20" s="340">
        <f t="shared" si="4"/>
        <v>-312500000</v>
      </c>
      <c r="H20" s="548">
        <f>sum(E20:G20)</f>
        <v>-937500000</v>
      </c>
      <c r="I20" s="57"/>
      <c r="J20" s="549" t="s">
        <v>93</v>
      </c>
      <c r="K20" s="550" t="s">
        <v>289</v>
      </c>
      <c r="L20" s="551" t="s">
        <v>290</v>
      </c>
      <c r="M20" s="551" t="s">
        <v>291</v>
      </c>
      <c r="N20" s="552" t="s">
        <v>292</v>
      </c>
      <c r="O20" s="163"/>
    </row>
    <row r="21">
      <c r="B21" s="553" t="s">
        <v>293</v>
      </c>
      <c r="D21" s="554">
        <f>-('9. Cash Budget'!$N21)</f>
        <v>-12187500</v>
      </c>
      <c r="E21" s="554">
        <f>-('9. Cash Budget'!$N22)</f>
        <v>-9140625</v>
      </c>
      <c r="F21" s="554">
        <f>-('9. Cash Budget'!$N23)</f>
        <v>-6093750</v>
      </c>
      <c r="G21" s="554">
        <f>-('9. Cash Budget'!$N24)</f>
        <v>-3046875</v>
      </c>
      <c r="H21" s="555">
        <f>-('9. Cash Budget'!$N25)</f>
        <v>-30468750</v>
      </c>
      <c r="I21" s="57"/>
      <c r="J21" s="209" t="s">
        <v>100</v>
      </c>
      <c r="K21" s="556">
        <f>'9. Cash Budget'!D16</f>
        <v>500000000</v>
      </c>
      <c r="L21" s="210">
        <f t="shared" ref="L21:L24" si="5">$M$16</f>
        <v>0.0975</v>
      </c>
      <c r="M21" s="416">
        <v>4.0</v>
      </c>
      <c r="N21" s="557">
        <f t="shared" ref="N21:N24" si="6">(K21*L21)/M21</f>
        <v>12187500</v>
      </c>
      <c r="O21" s="163"/>
    </row>
    <row r="22">
      <c r="B22" s="553" t="s">
        <v>294</v>
      </c>
      <c r="D22" s="558">
        <v>0.0</v>
      </c>
      <c r="E22" s="559">
        <f>-'9. Cash Budget'!N29</f>
        <v>-38281250</v>
      </c>
      <c r="F22" s="559">
        <f>-'9. Cash Budget'!N30</f>
        <v>-33496093.75</v>
      </c>
      <c r="G22" s="559">
        <f>-'9. Cash Budget'!N31</f>
        <v>-28710937.5</v>
      </c>
      <c r="H22" s="560">
        <f>-'9. Cash Budget'!N36</f>
        <v>-110058593.8</v>
      </c>
      <c r="I22" s="57"/>
      <c r="J22" s="209" t="s">
        <v>14</v>
      </c>
      <c r="K22" s="561">
        <f>K21+'9. Cash Budget'!E19</f>
        <v>375000000</v>
      </c>
      <c r="L22" s="210">
        <f t="shared" si="5"/>
        <v>0.0975</v>
      </c>
      <c r="M22" s="416">
        <v>4.0</v>
      </c>
      <c r="N22" s="557">
        <f t="shared" si="6"/>
        <v>9140625</v>
      </c>
      <c r="O22" s="163"/>
    </row>
    <row r="23">
      <c r="B23" s="527"/>
      <c r="C23" s="528"/>
      <c r="D23" s="318"/>
      <c r="E23" s="319"/>
      <c r="F23" s="319"/>
      <c r="G23" s="319"/>
      <c r="H23" s="320"/>
      <c r="I23" s="57"/>
      <c r="J23" s="209" t="s">
        <v>15</v>
      </c>
      <c r="K23" s="561">
        <f>K22+'9. Cash Budget'!F19</f>
        <v>250000000</v>
      </c>
      <c r="L23" s="210">
        <f t="shared" si="5"/>
        <v>0.0975</v>
      </c>
      <c r="M23" s="416">
        <v>4.0</v>
      </c>
      <c r="N23" s="557">
        <f t="shared" si="6"/>
        <v>6093750</v>
      </c>
      <c r="O23" s="163"/>
    </row>
    <row r="24">
      <c r="B24" s="464" t="s">
        <v>295</v>
      </c>
      <c r="D24" s="350">
        <v>0.0</v>
      </c>
      <c r="E24" s="350">
        <v>0.0</v>
      </c>
      <c r="F24" s="350">
        <v>0.0</v>
      </c>
      <c r="G24" s="350">
        <v>0.0</v>
      </c>
      <c r="H24" s="351">
        <f>H13+H16+H18+H19+H20+H21+H22</f>
        <v>1665640491</v>
      </c>
      <c r="I24" s="57"/>
      <c r="J24" s="209" t="s">
        <v>16</v>
      </c>
      <c r="K24" s="561">
        <f>K23+'9. Cash Budget'!G19</f>
        <v>125000000</v>
      </c>
      <c r="L24" s="210">
        <f t="shared" si="5"/>
        <v>0.0975</v>
      </c>
      <c r="M24" s="416">
        <v>4.0</v>
      </c>
      <c r="N24" s="557">
        <f t="shared" si="6"/>
        <v>3046875</v>
      </c>
      <c r="O24" s="163"/>
    </row>
    <row r="25">
      <c r="B25" s="18"/>
      <c r="D25" s="6"/>
      <c r="E25" s="6"/>
      <c r="F25" s="6"/>
      <c r="G25" s="6"/>
      <c r="H25" s="266"/>
      <c r="J25" s="562" t="s">
        <v>81</v>
      </c>
      <c r="K25" s="563" t="s">
        <v>296</v>
      </c>
      <c r="L25" s="20"/>
      <c r="M25" s="20"/>
      <c r="N25" s="564">
        <f>sum(N21:N24)</f>
        <v>30468750</v>
      </c>
      <c r="O25" s="163"/>
    </row>
    <row r="26">
      <c r="B26" s="565"/>
      <c r="C26" s="566"/>
      <c r="D26" s="567"/>
      <c r="E26" s="568"/>
      <c r="F26" s="568"/>
      <c r="G26" s="568"/>
      <c r="H26" s="569"/>
      <c r="I26" s="57"/>
      <c r="J26" s="570" t="s">
        <v>297</v>
      </c>
      <c r="K26" s="54"/>
      <c r="L26" s="54"/>
      <c r="M26" s="54"/>
      <c r="N26" s="74"/>
      <c r="O26" s="163"/>
    </row>
    <row r="27">
      <c r="I27" s="57"/>
      <c r="J27" s="203" t="s">
        <v>93</v>
      </c>
      <c r="K27" s="205" t="s">
        <v>289</v>
      </c>
      <c r="L27" s="571" t="s">
        <v>290</v>
      </c>
      <c r="M27" s="571" t="s">
        <v>291</v>
      </c>
      <c r="N27" s="572" t="s">
        <v>292</v>
      </c>
      <c r="O27" s="163"/>
    </row>
    <row r="28">
      <c r="J28" s="209" t="s">
        <v>100</v>
      </c>
      <c r="K28" s="561">
        <f>'9. Cash Budget'!E16</f>
        <v>2500000000</v>
      </c>
      <c r="L28" s="210">
        <f t="shared" ref="L28:L35" si="7">$M$17</f>
        <v>0.1225</v>
      </c>
      <c r="M28" s="416">
        <v>8.0</v>
      </c>
      <c r="N28" s="557">
        <f>(K28*L28)/M28</f>
        <v>38281250</v>
      </c>
      <c r="O28" s="163"/>
    </row>
    <row r="29">
      <c r="J29" s="209" t="s">
        <v>14</v>
      </c>
      <c r="K29" s="561">
        <f>K28+'9. Cash Budget'!E20</f>
        <v>2187500000</v>
      </c>
      <c r="L29" s="210">
        <f t="shared" si="7"/>
        <v>0.1225</v>
      </c>
      <c r="M29" s="416">
        <v>8.0</v>
      </c>
      <c r="N29" s="557">
        <f t="shared" ref="N29:N35" si="8">(K28*L29)/M29</f>
        <v>38281250</v>
      </c>
      <c r="O29" s="163"/>
    </row>
    <row r="30">
      <c r="J30" s="209" t="s">
        <v>15</v>
      </c>
      <c r="K30" s="561">
        <f>K29+'9. Cash Budget'!$F$20</f>
        <v>1875000000</v>
      </c>
      <c r="L30" s="210">
        <f t="shared" si="7"/>
        <v>0.1225</v>
      </c>
      <c r="M30" s="416">
        <v>8.0</v>
      </c>
      <c r="N30" s="557">
        <f t="shared" si="8"/>
        <v>33496093.75</v>
      </c>
      <c r="O30" s="163"/>
    </row>
    <row r="31">
      <c r="J31" s="209" t="s">
        <v>16</v>
      </c>
      <c r="K31" s="561">
        <f>K30+'9. Cash Budget'!$F$20</f>
        <v>1562500000</v>
      </c>
      <c r="L31" s="210">
        <f t="shared" si="7"/>
        <v>0.1225</v>
      </c>
      <c r="M31" s="416">
        <v>8.0</v>
      </c>
      <c r="N31" s="557">
        <f t="shared" si="8"/>
        <v>28710937.5</v>
      </c>
      <c r="O31" s="163"/>
    </row>
    <row r="32">
      <c r="J32" s="209" t="s">
        <v>100</v>
      </c>
      <c r="K32" s="561">
        <f>K31+'9. Cash Budget'!$F$20</f>
        <v>1250000000</v>
      </c>
      <c r="L32" s="210">
        <f t="shared" si="7"/>
        <v>0.1225</v>
      </c>
      <c r="M32" s="416">
        <v>8.0</v>
      </c>
      <c r="N32" s="557">
        <f t="shared" si="8"/>
        <v>23925781.25</v>
      </c>
      <c r="O32" s="163"/>
    </row>
    <row r="33">
      <c r="J33" s="209" t="s">
        <v>14</v>
      </c>
      <c r="K33" s="561">
        <f>K32+'9. Cash Budget'!$F$20</f>
        <v>937500000</v>
      </c>
      <c r="L33" s="210">
        <f t="shared" si="7"/>
        <v>0.1225</v>
      </c>
      <c r="M33" s="416">
        <v>8.0</v>
      </c>
      <c r="N33" s="557">
        <f t="shared" si="8"/>
        <v>19140625</v>
      </c>
      <c r="O33" s="163"/>
    </row>
    <row r="34">
      <c r="J34" s="209" t="s">
        <v>15</v>
      </c>
      <c r="K34" s="561">
        <f>K33+'9. Cash Budget'!$F$20</f>
        <v>625000000</v>
      </c>
      <c r="L34" s="210">
        <f t="shared" si="7"/>
        <v>0.1225</v>
      </c>
      <c r="M34" s="416">
        <v>8.0</v>
      </c>
      <c r="N34" s="557">
        <f t="shared" si="8"/>
        <v>14355468.75</v>
      </c>
      <c r="O34" s="163"/>
    </row>
    <row r="35">
      <c r="J35" s="209" t="s">
        <v>16</v>
      </c>
      <c r="K35" s="561">
        <f>K34+'9. Cash Budget'!$F$20</f>
        <v>312500000</v>
      </c>
      <c r="L35" s="210">
        <f t="shared" si="7"/>
        <v>0.1225</v>
      </c>
      <c r="M35" s="416">
        <v>8.0</v>
      </c>
      <c r="N35" s="557">
        <f t="shared" si="8"/>
        <v>9570312.5</v>
      </c>
      <c r="O35" s="163"/>
    </row>
    <row r="36">
      <c r="J36" s="562" t="s">
        <v>298</v>
      </c>
      <c r="K36" s="563" t="s">
        <v>296</v>
      </c>
      <c r="L36" s="20"/>
      <c r="M36" s="20"/>
      <c r="N36" s="573">
        <f>sum(N28:N30)</f>
        <v>110058593.8</v>
      </c>
      <c r="O36" s="163"/>
    </row>
  </sheetData>
  <mergeCells count="55">
    <mergeCell ref="B3:H4"/>
    <mergeCell ref="J3:O3"/>
    <mergeCell ref="J4:L4"/>
    <mergeCell ref="H5:H6"/>
    <mergeCell ref="J5:O5"/>
    <mergeCell ref="J6:L6"/>
    <mergeCell ref="B7:H7"/>
    <mergeCell ref="B5:C6"/>
    <mergeCell ref="D8:D9"/>
    <mergeCell ref="E8:E9"/>
    <mergeCell ref="F8:F9"/>
    <mergeCell ref="G8:G9"/>
    <mergeCell ref="H8:H9"/>
    <mergeCell ref="L8:L9"/>
    <mergeCell ref="G11:G12"/>
    <mergeCell ref="H11:H12"/>
    <mergeCell ref="J11:J13"/>
    <mergeCell ref="K11:K13"/>
    <mergeCell ref="L11:L13"/>
    <mergeCell ref="M11:M13"/>
    <mergeCell ref="N11:N13"/>
    <mergeCell ref="O11:O13"/>
    <mergeCell ref="B8:C8"/>
    <mergeCell ref="B9:C9"/>
    <mergeCell ref="B10:C10"/>
    <mergeCell ref="B11:C11"/>
    <mergeCell ref="D11:D12"/>
    <mergeCell ref="E11:E12"/>
    <mergeCell ref="F11:F12"/>
    <mergeCell ref="B12:C12"/>
    <mergeCell ref="B13:C14"/>
    <mergeCell ref="D13:D14"/>
    <mergeCell ref="E13:E14"/>
    <mergeCell ref="F13:F14"/>
    <mergeCell ref="G13:G14"/>
    <mergeCell ref="H13:H14"/>
    <mergeCell ref="B16:C16"/>
    <mergeCell ref="J16:L16"/>
    <mergeCell ref="J17:L17"/>
    <mergeCell ref="B18:C18"/>
    <mergeCell ref="J18:N18"/>
    <mergeCell ref="B19:C19"/>
    <mergeCell ref="J19:N19"/>
    <mergeCell ref="G24:G25"/>
    <mergeCell ref="H24:H25"/>
    <mergeCell ref="K25:M25"/>
    <mergeCell ref="J26:N26"/>
    <mergeCell ref="K36:M36"/>
    <mergeCell ref="B20:C20"/>
    <mergeCell ref="B21:C21"/>
    <mergeCell ref="B22:C22"/>
    <mergeCell ref="B24:C25"/>
    <mergeCell ref="D24:D25"/>
    <mergeCell ref="E24:E25"/>
    <mergeCell ref="F24:F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15.75"/>
    <col customWidth="1" min="9" max="9" width="8.13"/>
  </cols>
  <sheetData>
    <row r="3">
      <c r="B3" s="466" t="s">
        <v>299</v>
      </c>
      <c r="C3" s="166"/>
      <c r="D3" s="166"/>
      <c r="E3" s="166"/>
      <c r="F3" s="166"/>
      <c r="G3" s="166"/>
      <c r="H3" s="167"/>
      <c r="I3" s="57"/>
      <c r="J3" s="200" t="s">
        <v>300</v>
      </c>
      <c r="K3" s="54"/>
      <c r="L3" s="54"/>
      <c r="M3" s="54"/>
      <c r="N3" s="74"/>
    </row>
    <row r="4">
      <c r="B4" s="18"/>
      <c r="H4" s="168"/>
      <c r="I4" s="57"/>
      <c r="J4" s="57"/>
      <c r="K4" s="57"/>
      <c r="L4" s="57"/>
      <c r="M4" s="57"/>
      <c r="N4" s="57"/>
    </row>
    <row r="5">
      <c r="B5" s="447"/>
      <c r="C5" s="227"/>
      <c r="D5" s="227"/>
      <c r="E5" s="227"/>
      <c r="F5" s="227"/>
      <c r="G5" s="227"/>
      <c r="H5" s="228"/>
      <c r="I5" s="162" t="s">
        <v>102</v>
      </c>
      <c r="J5" s="537" t="s">
        <v>301</v>
      </c>
      <c r="K5" s="229"/>
      <c r="L5" s="229"/>
    </row>
    <row r="6">
      <c r="B6" s="574" t="s">
        <v>302</v>
      </c>
      <c r="C6" s="227"/>
      <c r="D6" s="57"/>
      <c r="E6" s="57"/>
      <c r="F6" s="57"/>
      <c r="G6" s="57"/>
      <c r="H6" s="163"/>
      <c r="I6" s="57"/>
      <c r="J6" s="575" t="s">
        <v>303</v>
      </c>
      <c r="K6" s="15"/>
      <c r="L6" s="15"/>
      <c r="M6" s="15"/>
      <c r="N6" s="27"/>
    </row>
    <row r="7">
      <c r="B7" s="576" t="s">
        <v>304</v>
      </c>
      <c r="C7" s="227"/>
      <c r="D7" s="227"/>
      <c r="E7" s="227"/>
      <c r="F7" s="57"/>
      <c r="G7" s="57"/>
      <c r="H7" s="163"/>
      <c r="I7" s="57"/>
      <c r="J7" s="366"/>
      <c r="K7" s="211"/>
      <c r="L7" s="577" t="s">
        <v>305</v>
      </c>
      <c r="M7" s="577" t="s">
        <v>97</v>
      </c>
      <c r="N7" s="578" t="s">
        <v>306</v>
      </c>
    </row>
    <row r="8">
      <c r="B8" s="579"/>
      <c r="C8" s="580" t="s">
        <v>307</v>
      </c>
      <c r="F8" s="581"/>
      <c r="G8" s="582">
        <f>N8</f>
        <v>480280232.5</v>
      </c>
      <c r="H8" s="583"/>
      <c r="I8" s="57"/>
      <c r="J8" s="434" t="s">
        <v>308</v>
      </c>
      <c r="L8" s="584">
        <f>'3. RawMaterial'!H19</f>
        <v>85383.15245</v>
      </c>
      <c r="M8" s="213">
        <f>'3. RawMaterial'!H23</f>
        <v>5625</v>
      </c>
      <c r="N8" s="585">
        <f t="shared" ref="N8:N9" si="1">L8*M8</f>
        <v>480280232.5</v>
      </c>
    </row>
    <row r="9">
      <c r="B9" s="586" t="s">
        <v>113</v>
      </c>
      <c r="C9" s="580" t="s">
        <v>309</v>
      </c>
      <c r="F9" s="581"/>
      <c r="G9" s="587">
        <f>'3. RawMaterial'!H28</f>
        <v>4403979794</v>
      </c>
      <c r="H9" s="583"/>
      <c r="I9" s="57"/>
      <c r="J9" s="439" t="s">
        <v>310</v>
      </c>
      <c r="K9" s="20"/>
      <c r="L9" s="588">
        <f>'3. RawMaterial'!H16</f>
        <v>14481.36916</v>
      </c>
      <c r="M9" s="589">
        <f>'3. RawMaterial'!H23</f>
        <v>5625</v>
      </c>
      <c r="N9" s="590">
        <f t="shared" si="1"/>
        <v>81457701.52</v>
      </c>
    </row>
    <row r="10">
      <c r="B10" s="579"/>
      <c r="C10" s="580" t="s">
        <v>311</v>
      </c>
      <c r="F10" s="581"/>
      <c r="G10" s="581">
        <f>sum(G8:G9)</f>
        <v>4884260027</v>
      </c>
      <c r="H10" s="583"/>
      <c r="I10" s="57"/>
    </row>
    <row r="11">
      <c r="B11" s="586" t="s">
        <v>275</v>
      </c>
      <c r="C11" s="580" t="s">
        <v>312</v>
      </c>
      <c r="F11" s="581"/>
      <c r="G11" s="591">
        <f>N9</f>
        <v>81457701.52</v>
      </c>
      <c r="H11" s="583"/>
      <c r="I11" s="162" t="s">
        <v>102</v>
      </c>
      <c r="J11" s="537" t="s">
        <v>313</v>
      </c>
    </row>
    <row r="12">
      <c r="B12" s="592"/>
      <c r="C12" s="593"/>
      <c r="D12" s="594"/>
      <c r="E12" s="595"/>
      <c r="F12" s="596"/>
      <c r="G12" s="596"/>
      <c r="H12" s="597"/>
      <c r="I12" s="57"/>
      <c r="J12" s="575" t="s">
        <v>314</v>
      </c>
      <c r="K12" s="15"/>
      <c r="L12" s="15"/>
      <c r="M12" s="15"/>
      <c r="N12" s="27"/>
    </row>
    <row r="13">
      <c r="B13" s="579"/>
      <c r="C13" s="598" t="s">
        <v>315</v>
      </c>
      <c r="F13" s="599" t="s">
        <v>316</v>
      </c>
      <c r="H13" s="600">
        <f>G10-G11</f>
        <v>4802802325</v>
      </c>
      <c r="I13" s="57"/>
      <c r="J13" s="366"/>
      <c r="K13" s="211"/>
      <c r="L13" s="577" t="s">
        <v>305</v>
      </c>
      <c r="M13" s="577" t="s">
        <v>97</v>
      </c>
      <c r="N13" s="578" t="s">
        <v>306</v>
      </c>
    </row>
    <row r="14">
      <c r="B14" s="574" t="s">
        <v>261</v>
      </c>
      <c r="C14" s="227"/>
      <c r="D14" s="580" t="s">
        <v>317</v>
      </c>
      <c r="F14" s="601"/>
      <c r="G14" s="601"/>
      <c r="H14" s="583">
        <f>'4. Labour'!H17</f>
        <v>269968392.2</v>
      </c>
      <c r="I14" s="57"/>
      <c r="J14" s="434" t="s">
        <v>318</v>
      </c>
      <c r="L14" s="584">
        <f>'2. Production'!H13</f>
        <v>8444.240286</v>
      </c>
      <c r="M14" s="213">
        <f>'1. Sales'!H13</f>
        <v>89.70188636</v>
      </c>
      <c r="N14" s="585">
        <f t="shared" ref="N14:N15" si="2">L14*M14</f>
        <v>757464.2826</v>
      </c>
    </row>
    <row r="15">
      <c r="B15" s="574" t="s">
        <v>262</v>
      </c>
      <c r="C15" s="227"/>
      <c r="D15" s="602" t="s">
        <v>319</v>
      </c>
      <c r="F15" s="601"/>
      <c r="G15" s="601"/>
      <c r="H15" s="603">
        <f>sum('5. Manufacturing'!H12:H16,'5. Manufacturing'!H22:H25)</f>
        <v>244520066</v>
      </c>
      <c r="I15" s="57"/>
      <c r="J15" s="439" t="s">
        <v>320</v>
      </c>
      <c r="K15" s="20"/>
      <c r="L15" s="588">
        <f>'2. Production'!H10</f>
        <v>1235.535365</v>
      </c>
      <c r="M15" s="589">
        <f>'1. Sales'!H13</f>
        <v>89.70188636</v>
      </c>
      <c r="N15" s="590">
        <f t="shared" si="2"/>
        <v>110829.8529</v>
      </c>
    </row>
    <row r="16">
      <c r="B16" s="579"/>
      <c r="C16" s="604"/>
      <c r="D16" s="605" t="s">
        <v>113</v>
      </c>
      <c r="E16" s="236"/>
      <c r="F16" s="606"/>
      <c r="G16" s="606"/>
      <c r="H16" s="583"/>
    </row>
    <row r="17">
      <c r="B17" s="579"/>
      <c r="C17" s="598" t="s">
        <v>321</v>
      </c>
      <c r="F17" s="599" t="s">
        <v>316</v>
      </c>
      <c r="H17" s="607">
        <f>sum(H13:H15)</f>
        <v>5317290784</v>
      </c>
    </row>
    <row r="18">
      <c r="B18" s="592"/>
      <c r="C18" s="593"/>
      <c r="D18" s="594"/>
      <c r="E18" s="595"/>
      <c r="F18" s="608"/>
      <c r="G18" s="608"/>
      <c r="H18" s="609"/>
    </row>
    <row r="19">
      <c r="B19" s="586" t="s">
        <v>113</v>
      </c>
      <c r="C19" s="580" t="s">
        <v>322</v>
      </c>
      <c r="F19" s="601"/>
      <c r="G19" s="601"/>
      <c r="H19" s="610">
        <v>0.0</v>
      </c>
    </row>
    <row r="20">
      <c r="B20" s="586"/>
      <c r="C20" s="580"/>
      <c r="D20" s="580"/>
      <c r="E20" s="580"/>
      <c r="F20" s="601"/>
      <c r="G20" s="601"/>
      <c r="H20" s="611">
        <f>H17+H19</f>
        <v>5317290784</v>
      </c>
    </row>
    <row r="21">
      <c r="B21" s="586" t="s">
        <v>275</v>
      </c>
      <c r="C21" s="580" t="s">
        <v>323</v>
      </c>
      <c r="F21" s="601"/>
      <c r="G21" s="601"/>
      <c r="H21" s="610">
        <v>0.0</v>
      </c>
    </row>
    <row r="22">
      <c r="B22" s="579"/>
      <c r="C22" s="598" t="s">
        <v>324</v>
      </c>
      <c r="F22" s="599" t="s">
        <v>316</v>
      </c>
      <c r="H22" s="612">
        <f>H20-H21</f>
        <v>5317290784</v>
      </c>
    </row>
    <row r="23">
      <c r="B23" s="592"/>
      <c r="C23" s="593"/>
      <c r="D23" s="594"/>
      <c r="E23" s="595"/>
      <c r="F23" s="608"/>
      <c r="G23" s="608"/>
      <c r="H23" s="597"/>
    </row>
    <row r="24">
      <c r="B24" s="574" t="s">
        <v>325</v>
      </c>
      <c r="C24" s="227"/>
      <c r="D24" s="580"/>
      <c r="E24" s="580"/>
      <c r="F24" s="601"/>
      <c r="G24" s="601"/>
      <c r="H24" s="583"/>
    </row>
    <row r="25">
      <c r="B25" s="586" t="s">
        <v>113</v>
      </c>
      <c r="C25" s="580" t="s">
        <v>326</v>
      </c>
      <c r="F25" s="601"/>
      <c r="G25" s="601"/>
      <c r="H25" s="583">
        <f>N14</f>
        <v>757464.2826</v>
      </c>
    </row>
    <row r="26">
      <c r="B26" s="579"/>
      <c r="C26" s="580" t="s">
        <v>327</v>
      </c>
      <c r="F26" s="599" t="s">
        <v>316</v>
      </c>
      <c r="H26" s="613">
        <f>H22+H25</f>
        <v>5318048248</v>
      </c>
    </row>
    <row r="27">
      <c r="B27" s="586" t="s">
        <v>275</v>
      </c>
      <c r="C27" s="580" t="s">
        <v>328</v>
      </c>
      <c r="F27" s="581"/>
      <c r="G27" s="581"/>
      <c r="H27" s="603">
        <f>N15</f>
        <v>110829.8529</v>
      </c>
    </row>
    <row r="28">
      <c r="B28" s="592"/>
      <c r="C28" s="593"/>
      <c r="D28" s="594"/>
      <c r="E28" s="595"/>
      <c r="F28" s="596"/>
      <c r="G28" s="596"/>
      <c r="H28" s="614"/>
    </row>
    <row r="29">
      <c r="B29" s="579"/>
      <c r="C29" s="615" t="s">
        <v>329</v>
      </c>
      <c r="F29" s="616" t="s">
        <v>330</v>
      </c>
      <c r="H29" s="617">
        <f>H26-H27</f>
        <v>5317937418</v>
      </c>
    </row>
    <row r="30">
      <c r="B30" s="618"/>
      <c r="C30" s="6"/>
      <c r="D30" s="6"/>
      <c r="E30" s="6"/>
      <c r="F30" s="6"/>
      <c r="G30" s="6"/>
      <c r="H30" s="266"/>
    </row>
    <row r="31">
      <c r="B31" s="565"/>
      <c r="C31" s="566"/>
      <c r="D31" s="619"/>
      <c r="E31" s="620"/>
      <c r="F31" s="620"/>
      <c r="G31" s="620"/>
      <c r="H31" s="621"/>
    </row>
  </sheetData>
  <mergeCells count="36">
    <mergeCell ref="B3:H4"/>
    <mergeCell ref="J3:N3"/>
    <mergeCell ref="B5:H5"/>
    <mergeCell ref="B6:C6"/>
    <mergeCell ref="J6:N6"/>
    <mergeCell ref="B7:E7"/>
    <mergeCell ref="J8:K8"/>
    <mergeCell ref="J14:K14"/>
    <mergeCell ref="J15:K15"/>
    <mergeCell ref="C8:E8"/>
    <mergeCell ref="C9:E9"/>
    <mergeCell ref="J9:K9"/>
    <mergeCell ref="C10:E10"/>
    <mergeCell ref="C11:E11"/>
    <mergeCell ref="J12:N12"/>
    <mergeCell ref="F13:G13"/>
    <mergeCell ref="C13:E13"/>
    <mergeCell ref="B14:C14"/>
    <mergeCell ref="D14:E14"/>
    <mergeCell ref="B15:C15"/>
    <mergeCell ref="D15:E15"/>
    <mergeCell ref="D16:E16"/>
    <mergeCell ref="F17:G17"/>
    <mergeCell ref="C26:E26"/>
    <mergeCell ref="F26:G26"/>
    <mergeCell ref="C27:E27"/>
    <mergeCell ref="C29:E30"/>
    <mergeCell ref="F29:G30"/>
    <mergeCell ref="H29:H30"/>
    <mergeCell ref="C17:E17"/>
    <mergeCell ref="C19:E19"/>
    <mergeCell ref="C21:E21"/>
    <mergeCell ref="C22:E22"/>
    <mergeCell ref="F22:G22"/>
    <mergeCell ref="B24:C24"/>
    <mergeCell ref="C25:E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66" t="s">
        <v>331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447"/>
      <c r="C5" s="227"/>
      <c r="D5" s="227"/>
      <c r="E5" s="227"/>
      <c r="F5" s="227"/>
      <c r="G5" s="227"/>
      <c r="H5" s="228"/>
    </row>
    <row r="6">
      <c r="B6" s="506" t="s">
        <v>247</v>
      </c>
      <c r="C6" s="227"/>
      <c r="D6" s="622"/>
      <c r="E6" s="622"/>
      <c r="F6" s="57"/>
      <c r="G6" s="57"/>
      <c r="H6" s="163"/>
    </row>
    <row r="7">
      <c r="B7" s="82"/>
      <c r="C7" s="580" t="s">
        <v>332</v>
      </c>
      <c r="F7" s="57"/>
      <c r="G7" s="52">
        <f>'1. Sales'!H15</f>
        <v>7594982375</v>
      </c>
      <c r="H7" s="168"/>
    </row>
    <row r="8">
      <c r="B8" s="506" t="s">
        <v>333</v>
      </c>
      <c r="C8" s="227"/>
      <c r="F8" s="57"/>
      <c r="G8" s="57"/>
      <c r="H8" s="163"/>
    </row>
    <row r="9">
      <c r="B9" s="264" t="s">
        <v>275</v>
      </c>
      <c r="C9" s="580" t="s">
        <v>329</v>
      </c>
      <c r="F9" s="57"/>
      <c r="G9" s="52">
        <f>'10. COGS'!H29</f>
        <v>5317937418</v>
      </c>
      <c r="H9" s="168"/>
    </row>
    <row r="10">
      <c r="B10" s="82"/>
      <c r="C10" s="623"/>
      <c r="D10" s="624" t="s">
        <v>334</v>
      </c>
      <c r="F10" s="625" t="s">
        <v>335</v>
      </c>
      <c r="G10" s="626">
        <f>G7-G9</f>
        <v>2277044957</v>
      </c>
      <c r="H10" s="201"/>
    </row>
    <row r="11">
      <c r="B11" s="627" t="s">
        <v>213</v>
      </c>
      <c r="C11" s="227"/>
      <c r="D11" s="227"/>
      <c r="E11" s="227"/>
      <c r="F11" s="628"/>
      <c r="G11" s="57"/>
      <c r="H11" s="163"/>
    </row>
    <row r="12">
      <c r="B12" s="506" t="s">
        <v>264</v>
      </c>
      <c r="C12" s="629"/>
      <c r="D12" s="580" t="s">
        <v>336</v>
      </c>
      <c r="F12" s="628"/>
      <c r="G12" s="52">
        <f>'6. Admin Expense'!H40</f>
        <v>300129367.1</v>
      </c>
      <c r="H12" s="168"/>
    </row>
    <row r="13">
      <c r="B13" s="574" t="s">
        <v>273</v>
      </c>
      <c r="C13" s="227"/>
      <c r="D13" s="580" t="s">
        <v>337</v>
      </c>
      <c r="F13" s="628"/>
      <c r="G13" s="52">
        <f>'7. Cash Reciept'!H18</f>
        <v>129957926.6</v>
      </c>
      <c r="H13" s="168"/>
    </row>
    <row r="14">
      <c r="B14" s="574" t="s">
        <v>338</v>
      </c>
      <c r="C14" s="227"/>
      <c r="D14" s="580" t="s">
        <v>339</v>
      </c>
      <c r="F14" s="628"/>
      <c r="G14" s="52">
        <f>'9. Cash Budget'!N25</f>
        <v>30468750</v>
      </c>
      <c r="H14" s="168"/>
    </row>
    <row r="15">
      <c r="B15" s="579"/>
      <c r="C15" s="580"/>
      <c r="D15" s="580" t="s">
        <v>340</v>
      </c>
      <c r="F15" s="628"/>
      <c r="G15" s="52">
        <f>'9. Cash Budget'!N36</f>
        <v>110058593.8</v>
      </c>
      <c r="H15" s="168"/>
    </row>
    <row r="16">
      <c r="B16" s="579"/>
      <c r="C16" s="624" t="s">
        <v>341</v>
      </c>
      <c r="F16" s="625" t="s">
        <v>335</v>
      </c>
      <c r="G16" s="626">
        <f>SUM(G12:H15)</f>
        <v>570614637.5</v>
      </c>
      <c r="H16" s="201"/>
    </row>
    <row r="17">
      <c r="B17" s="82"/>
      <c r="C17" s="96"/>
      <c r="F17" s="57"/>
      <c r="G17" s="57"/>
      <c r="H17" s="163"/>
    </row>
    <row r="18">
      <c r="B18" s="82"/>
      <c r="D18" s="96"/>
      <c r="E18" s="615" t="s">
        <v>342</v>
      </c>
      <c r="F18" s="630" t="s">
        <v>335</v>
      </c>
      <c r="G18" s="631">
        <f>G10-G16</f>
        <v>1706430319</v>
      </c>
      <c r="H18" s="632"/>
    </row>
    <row r="19">
      <c r="B19" s="565"/>
      <c r="C19" s="566"/>
      <c r="D19" s="619"/>
      <c r="E19" s="620"/>
      <c r="F19" s="620"/>
      <c r="G19" s="620"/>
      <c r="H19" s="621"/>
    </row>
  </sheetData>
  <mergeCells count="25">
    <mergeCell ref="B3:H4"/>
    <mergeCell ref="B5:H5"/>
    <mergeCell ref="B6:C6"/>
    <mergeCell ref="C7:E7"/>
    <mergeCell ref="G7:H7"/>
    <mergeCell ref="B8:C8"/>
    <mergeCell ref="G9:H9"/>
    <mergeCell ref="G12:H12"/>
    <mergeCell ref="G13:H13"/>
    <mergeCell ref="G14:H14"/>
    <mergeCell ref="G15:H15"/>
    <mergeCell ref="G16:H16"/>
    <mergeCell ref="G18:H18"/>
    <mergeCell ref="B14:C14"/>
    <mergeCell ref="D14:E14"/>
    <mergeCell ref="D15:E15"/>
    <mergeCell ref="C16:E16"/>
    <mergeCell ref="C17:E17"/>
    <mergeCell ref="C9:E9"/>
    <mergeCell ref="D10:E10"/>
    <mergeCell ref="G10:H10"/>
    <mergeCell ref="B11:E11"/>
    <mergeCell ref="D12:E12"/>
    <mergeCell ref="B13:C13"/>
    <mergeCell ref="D13:E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14.75"/>
    <col customWidth="1" min="6" max="8" width="17.25"/>
  </cols>
  <sheetData>
    <row r="3">
      <c r="B3" s="466" t="s">
        <v>343</v>
      </c>
      <c r="C3" s="166"/>
      <c r="D3" s="166"/>
      <c r="E3" s="166"/>
      <c r="F3" s="166"/>
      <c r="G3" s="166"/>
      <c r="H3" s="167"/>
    </row>
    <row r="4">
      <c r="B4" s="18"/>
      <c r="H4" s="168"/>
    </row>
    <row r="5">
      <c r="B5" s="447"/>
      <c r="C5" s="227"/>
      <c r="D5" s="227"/>
      <c r="E5" s="227"/>
      <c r="F5" s="227"/>
      <c r="G5" s="227"/>
      <c r="H5" s="228"/>
    </row>
    <row r="6">
      <c r="B6" s="633" t="s">
        <v>344</v>
      </c>
      <c r="C6" s="227"/>
      <c r="D6" s="227"/>
      <c r="E6" s="227"/>
      <c r="F6" s="57"/>
      <c r="G6" s="581"/>
      <c r="H6" s="583"/>
    </row>
    <row r="7">
      <c r="B7" s="506" t="s">
        <v>273</v>
      </c>
      <c r="C7" s="227"/>
      <c r="D7" s="96" t="s">
        <v>345</v>
      </c>
      <c r="F7" s="57"/>
      <c r="G7" s="581"/>
      <c r="H7" s="583">
        <f>'7. Cash Reciept'!H16</f>
        <v>7443082727</v>
      </c>
    </row>
    <row r="8">
      <c r="B8" s="82"/>
      <c r="C8" s="96"/>
      <c r="F8" s="57"/>
      <c r="G8" s="581"/>
      <c r="H8" s="634"/>
    </row>
    <row r="9">
      <c r="B9" s="635"/>
      <c r="C9" s="467"/>
      <c r="D9" s="636" t="s">
        <v>346</v>
      </c>
      <c r="E9" s="227"/>
      <c r="F9" s="57"/>
      <c r="G9" s="581"/>
      <c r="H9" s="583"/>
    </row>
    <row r="10">
      <c r="B10" s="506" t="s">
        <v>276</v>
      </c>
      <c r="C10" s="227"/>
      <c r="D10" s="96" t="s">
        <v>347</v>
      </c>
      <c r="F10" s="57"/>
      <c r="G10" s="581">
        <f>'8. Cash Disbursement'!H17</f>
        <v>1921120930</v>
      </c>
      <c r="H10" s="583"/>
    </row>
    <row r="11">
      <c r="B11" s="506" t="s">
        <v>261</v>
      </c>
      <c r="C11" s="227"/>
      <c r="D11" s="96" t="s">
        <v>348</v>
      </c>
      <c r="F11" s="57"/>
      <c r="G11" s="581">
        <f>'4. Labour'!H17</f>
        <v>269968392.2</v>
      </c>
      <c r="H11" s="583"/>
    </row>
    <row r="12">
      <c r="B12" s="506" t="s">
        <v>262</v>
      </c>
      <c r="C12" s="227"/>
      <c r="D12" s="96" t="s">
        <v>349</v>
      </c>
      <c r="F12" s="57"/>
      <c r="G12" s="581">
        <f>'5. Manufacturing'!H29</f>
        <v>6411597108</v>
      </c>
      <c r="H12" s="583"/>
    </row>
    <row r="13">
      <c r="B13" s="506" t="s">
        <v>264</v>
      </c>
      <c r="C13" s="227"/>
      <c r="D13" s="96" t="s">
        <v>350</v>
      </c>
      <c r="F13" s="57"/>
      <c r="G13" s="581">
        <f>'6. Admin Expense'!H40</f>
        <v>300129367.1</v>
      </c>
      <c r="H13" s="583"/>
    </row>
    <row r="14">
      <c r="B14" s="506" t="s">
        <v>338</v>
      </c>
      <c r="C14" s="227"/>
      <c r="D14" s="96" t="s">
        <v>351</v>
      </c>
      <c r="F14" s="57"/>
      <c r="G14" s="581">
        <f>SUM('9. Cash Budget'!N25,'9. Cash Budget'!N36)</f>
        <v>140527343.8</v>
      </c>
      <c r="H14" s="583"/>
    </row>
    <row r="15">
      <c r="B15" s="82"/>
      <c r="C15" s="96"/>
      <c r="F15" s="57"/>
      <c r="G15" s="637"/>
      <c r="H15" s="583"/>
    </row>
    <row r="16">
      <c r="B16" s="82"/>
      <c r="C16" s="57"/>
      <c r="D16" s="96" t="s">
        <v>352</v>
      </c>
      <c r="F16" s="57"/>
      <c r="G16" s="637"/>
      <c r="H16" s="583">
        <f>sum(G10:G14)</f>
        <v>9043343142</v>
      </c>
    </row>
    <row r="17">
      <c r="B17" s="82"/>
      <c r="C17" s="57"/>
      <c r="D17" s="638" t="s">
        <v>353</v>
      </c>
      <c r="F17" s="639" t="s">
        <v>316</v>
      </c>
      <c r="H17" s="640">
        <f>H7-H16</f>
        <v>-1600260414</v>
      </c>
    </row>
    <row r="18">
      <c r="B18" s="82"/>
      <c r="C18" s="57"/>
      <c r="D18" s="57"/>
      <c r="E18" s="57"/>
      <c r="F18" s="57"/>
      <c r="G18" s="581"/>
      <c r="H18" s="583"/>
    </row>
    <row r="19">
      <c r="B19" s="633" t="s">
        <v>354</v>
      </c>
      <c r="C19" s="227"/>
      <c r="D19" s="227"/>
      <c r="E19" s="227"/>
      <c r="F19" s="57"/>
      <c r="G19" s="581"/>
      <c r="H19" s="583"/>
    </row>
    <row r="20">
      <c r="B20" s="506" t="s">
        <v>338</v>
      </c>
      <c r="C20" s="227"/>
      <c r="D20" s="96" t="s">
        <v>284</v>
      </c>
      <c r="F20" s="57"/>
      <c r="G20" s="581">
        <f>'9. Cash Budget'!H18</f>
        <v>-487107831.2</v>
      </c>
      <c r="H20" s="583"/>
    </row>
    <row r="21">
      <c r="B21" s="82"/>
      <c r="C21" s="57"/>
      <c r="D21" s="638" t="s">
        <v>355</v>
      </c>
      <c r="F21" s="639" t="s">
        <v>316</v>
      </c>
      <c r="H21" s="640">
        <f>G20</f>
        <v>-487107831.2</v>
      </c>
    </row>
    <row r="22">
      <c r="B22" s="82"/>
      <c r="C22" s="57"/>
      <c r="D22" s="57"/>
      <c r="E22" s="57"/>
      <c r="F22" s="57"/>
      <c r="G22" s="581"/>
      <c r="H22" s="583"/>
    </row>
    <row r="23">
      <c r="B23" s="633" t="s">
        <v>356</v>
      </c>
      <c r="C23" s="227"/>
      <c r="D23" s="227"/>
      <c r="E23" s="227"/>
      <c r="F23" s="57"/>
      <c r="G23" s="581"/>
      <c r="H23" s="583"/>
    </row>
    <row r="24">
      <c r="B24" s="506" t="s">
        <v>338</v>
      </c>
      <c r="C24" s="227"/>
      <c r="D24" s="580" t="s">
        <v>357</v>
      </c>
      <c r="F24" s="57"/>
      <c r="G24" s="581">
        <f>sum('9. Cash Budget'!E16,'9. Cash Budget'!D16)</f>
        <v>3000000000</v>
      </c>
      <c r="H24" s="583"/>
    </row>
    <row r="25">
      <c r="B25" s="506" t="s">
        <v>338</v>
      </c>
      <c r="C25" s="227"/>
      <c r="D25" s="580" t="s">
        <v>358</v>
      </c>
      <c r="F25" s="57"/>
      <c r="G25" s="581">
        <f>sum('9. Cash Budget'!H21,'9. Cash Budget'!H22)</f>
        <v>-140527343.8</v>
      </c>
      <c r="H25" s="583"/>
    </row>
    <row r="26">
      <c r="B26" s="82"/>
      <c r="C26" s="57"/>
      <c r="D26" s="624" t="s">
        <v>359</v>
      </c>
      <c r="F26" s="639" t="s">
        <v>316</v>
      </c>
      <c r="H26" s="640">
        <f>G24+G25</f>
        <v>2859472656</v>
      </c>
    </row>
    <row r="27">
      <c r="B27" s="641"/>
      <c r="C27" s="642"/>
      <c r="D27" s="510"/>
      <c r="E27" s="511"/>
      <c r="F27" s="596"/>
      <c r="G27" s="596"/>
      <c r="H27" s="614"/>
    </row>
    <row r="28">
      <c r="B28" s="82"/>
      <c r="C28" s="598" t="s">
        <v>360</v>
      </c>
      <c r="F28" s="57"/>
      <c r="G28" s="581"/>
      <c r="H28" s="600">
        <f>H17+H21+H26</f>
        <v>772104410.7</v>
      </c>
    </row>
    <row r="29">
      <c r="B29" s="82"/>
      <c r="C29" s="580" t="s">
        <v>361</v>
      </c>
      <c r="F29" s="57"/>
      <c r="G29" s="581"/>
      <c r="H29" s="643">
        <v>5.2962E7</v>
      </c>
    </row>
    <row r="30">
      <c r="B30" s="82"/>
      <c r="C30" s="615" t="s">
        <v>362</v>
      </c>
      <c r="F30" s="644" t="s">
        <v>316</v>
      </c>
      <c r="H30" s="645">
        <f>H28+H29</f>
        <v>825066410.7</v>
      </c>
    </row>
    <row r="31">
      <c r="B31" s="646"/>
      <c r="C31" s="647"/>
      <c r="D31" s="567"/>
      <c r="E31" s="568"/>
      <c r="F31" s="648"/>
      <c r="G31" s="648"/>
      <c r="H31" s="649"/>
    </row>
  </sheetData>
  <mergeCells count="37">
    <mergeCell ref="B3:H4"/>
    <mergeCell ref="B5:H5"/>
    <mergeCell ref="B6:E6"/>
    <mergeCell ref="B7:C7"/>
    <mergeCell ref="D7:E7"/>
    <mergeCell ref="C8:E8"/>
    <mergeCell ref="D9:E9"/>
    <mergeCell ref="B13:C13"/>
    <mergeCell ref="B14:C14"/>
    <mergeCell ref="B10:C10"/>
    <mergeCell ref="D10:E10"/>
    <mergeCell ref="B11:C11"/>
    <mergeCell ref="D11:E11"/>
    <mergeCell ref="B12:C12"/>
    <mergeCell ref="D12:E12"/>
    <mergeCell ref="D13:E13"/>
    <mergeCell ref="D14:E14"/>
    <mergeCell ref="C15:E15"/>
    <mergeCell ref="D16:E16"/>
    <mergeCell ref="D17:E17"/>
    <mergeCell ref="F17:G17"/>
    <mergeCell ref="B19:E19"/>
    <mergeCell ref="B20:C20"/>
    <mergeCell ref="D25:E25"/>
    <mergeCell ref="D26:E26"/>
    <mergeCell ref="F26:G26"/>
    <mergeCell ref="C28:E28"/>
    <mergeCell ref="C29:E29"/>
    <mergeCell ref="C30:E30"/>
    <mergeCell ref="F30:G30"/>
    <mergeCell ref="D20:E20"/>
    <mergeCell ref="D21:E21"/>
    <mergeCell ref="F21:G21"/>
    <mergeCell ref="B23:E23"/>
    <mergeCell ref="B24:C24"/>
    <mergeCell ref="D24:E24"/>
    <mergeCell ref="B25:C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5" width="14.13"/>
    <col customWidth="1" min="6" max="8" width="16.25"/>
    <col customWidth="1" min="9" max="9" width="4.75"/>
    <col customWidth="1" min="10" max="10" width="15.63"/>
    <col customWidth="1" min="11" max="11" width="15.25"/>
    <col customWidth="1" min="12" max="14" width="13.88"/>
  </cols>
  <sheetData>
    <row r="3">
      <c r="B3" s="466" t="s">
        <v>363</v>
      </c>
      <c r="C3" s="166"/>
      <c r="D3" s="166"/>
      <c r="E3" s="166"/>
      <c r="F3" s="166"/>
      <c r="G3" s="166"/>
      <c r="H3" s="167"/>
      <c r="I3" s="57"/>
      <c r="J3" s="57"/>
      <c r="K3" s="57"/>
      <c r="L3" s="57"/>
      <c r="M3" s="57"/>
      <c r="N3" s="57"/>
    </row>
    <row r="4">
      <c r="B4" s="18"/>
      <c r="H4" s="168"/>
      <c r="I4" s="57"/>
      <c r="J4" s="57"/>
      <c r="K4" s="57"/>
      <c r="L4" s="57"/>
      <c r="M4" s="57"/>
      <c r="N4" s="57"/>
    </row>
    <row r="5">
      <c r="B5" s="447"/>
      <c r="C5" s="227"/>
      <c r="D5" s="227"/>
      <c r="E5" s="227"/>
      <c r="F5" s="227"/>
      <c r="G5" s="227"/>
      <c r="H5" s="228"/>
      <c r="I5" s="57"/>
      <c r="J5" s="57"/>
      <c r="K5" s="57"/>
      <c r="L5" s="57"/>
      <c r="M5" s="57"/>
      <c r="N5" s="57"/>
    </row>
    <row r="6">
      <c r="B6" s="449" t="s">
        <v>364</v>
      </c>
      <c r="C6" s="20"/>
      <c r="D6" s="20"/>
      <c r="E6" s="20"/>
      <c r="F6" s="20"/>
      <c r="G6" s="20"/>
      <c r="H6" s="21"/>
      <c r="I6" s="57"/>
      <c r="J6" s="650" t="s">
        <v>365</v>
      </c>
      <c r="K6" s="171"/>
      <c r="L6" s="57"/>
      <c r="M6" s="57"/>
      <c r="N6" s="57"/>
    </row>
    <row r="7">
      <c r="B7" s="627" t="s">
        <v>366</v>
      </c>
      <c r="C7" s="227"/>
      <c r="D7" s="227"/>
      <c r="E7" s="227"/>
      <c r="F7" s="57"/>
      <c r="G7" s="57"/>
      <c r="H7" s="163"/>
      <c r="I7" s="57"/>
      <c r="J7" s="651"/>
      <c r="K7" s="57"/>
      <c r="L7" s="57"/>
      <c r="M7" s="57"/>
      <c r="N7" s="57"/>
    </row>
    <row r="8">
      <c r="B8" s="506" t="s">
        <v>338</v>
      </c>
      <c r="C8" s="227"/>
      <c r="D8" s="580" t="s">
        <v>367</v>
      </c>
      <c r="F8" s="57"/>
      <c r="H8" s="163">
        <f>'9. Cash Budget'!H24</f>
        <v>1665640491</v>
      </c>
      <c r="I8" s="57"/>
      <c r="J8" s="652" t="s">
        <v>368</v>
      </c>
      <c r="K8" s="57"/>
      <c r="L8" s="57"/>
      <c r="M8" s="57"/>
      <c r="N8" s="57"/>
    </row>
    <row r="9">
      <c r="B9" s="506" t="s">
        <v>273</v>
      </c>
      <c r="C9" s="227"/>
      <c r="D9" s="580" t="s">
        <v>369</v>
      </c>
      <c r="F9" s="57"/>
      <c r="H9" s="163">
        <f>18%*'7. Cash Reciept'!G8</f>
        <v>405737957.3</v>
      </c>
      <c r="I9" s="57"/>
      <c r="J9" s="652"/>
      <c r="K9" s="57"/>
      <c r="L9" s="57"/>
      <c r="M9" s="57"/>
      <c r="N9" s="57"/>
    </row>
    <row r="10">
      <c r="B10" s="506"/>
      <c r="C10" s="227"/>
      <c r="D10" s="580" t="s">
        <v>370</v>
      </c>
      <c r="F10" s="57"/>
      <c r="G10" s="57"/>
      <c r="H10" s="395">
        <f>J10</f>
        <v>13600000</v>
      </c>
      <c r="I10" s="57"/>
      <c r="J10" s="652">
        <v>1.36E7</v>
      </c>
      <c r="K10" s="57"/>
      <c r="L10" s="57"/>
      <c r="M10" s="57"/>
      <c r="N10" s="57"/>
    </row>
    <row r="11">
      <c r="B11" s="506" t="s">
        <v>333</v>
      </c>
      <c r="C11" s="227"/>
      <c r="D11" s="580" t="s">
        <v>69</v>
      </c>
      <c r="F11" s="57"/>
      <c r="G11" s="57">
        <f>'10. COGS'!G11</f>
        <v>81457701.52</v>
      </c>
      <c r="H11" s="163"/>
      <c r="I11" s="57"/>
      <c r="J11" s="652"/>
      <c r="K11" s="57"/>
      <c r="L11" s="57"/>
      <c r="M11" s="57"/>
      <c r="N11" s="57"/>
    </row>
    <row r="12">
      <c r="B12" s="506" t="s">
        <v>333</v>
      </c>
      <c r="C12" s="227"/>
      <c r="D12" s="580" t="s">
        <v>371</v>
      </c>
      <c r="F12" s="57"/>
      <c r="G12" s="57">
        <f>'10. COGS'!H27</f>
        <v>110829.8529</v>
      </c>
      <c r="H12" s="163"/>
      <c r="I12" s="57"/>
      <c r="J12" s="652" t="s">
        <v>368</v>
      </c>
      <c r="K12" s="57"/>
      <c r="L12" s="57"/>
      <c r="M12" s="57"/>
      <c r="N12" s="57"/>
    </row>
    <row r="13">
      <c r="B13" s="82"/>
      <c r="C13" s="57"/>
      <c r="D13" s="653"/>
      <c r="E13" s="580" t="s">
        <v>372</v>
      </c>
      <c r="G13" s="57">
        <f>'9. Cash Budget'!K31</f>
        <v>1562500000</v>
      </c>
      <c r="H13" s="163"/>
      <c r="I13" s="57"/>
      <c r="J13" s="652" t="s">
        <v>368</v>
      </c>
    </row>
    <row r="14">
      <c r="B14" s="82"/>
      <c r="C14" s="57"/>
      <c r="D14" s="580" t="s">
        <v>373</v>
      </c>
      <c r="F14" s="57"/>
      <c r="G14" s="57"/>
      <c r="H14" s="163">
        <f>sum(G11:G13)</f>
        <v>1644068531</v>
      </c>
      <c r="I14" s="57"/>
      <c r="J14" s="652" t="s">
        <v>368</v>
      </c>
    </row>
    <row r="15">
      <c r="B15" s="82"/>
      <c r="C15" s="57"/>
      <c r="D15" s="624" t="s">
        <v>374</v>
      </c>
      <c r="F15" s="639" t="s">
        <v>316</v>
      </c>
      <c r="H15" s="654">
        <f>SUM(H8:H14)</f>
        <v>3729046980</v>
      </c>
      <c r="I15" s="57"/>
      <c r="J15" s="652" t="s">
        <v>368</v>
      </c>
    </row>
    <row r="16">
      <c r="B16" s="627" t="s">
        <v>375</v>
      </c>
      <c r="C16" s="227"/>
      <c r="D16" s="227"/>
      <c r="E16" s="227"/>
      <c r="H16" s="163"/>
      <c r="I16" s="57"/>
      <c r="J16" s="652"/>
    </row>
    <row r="17">
      <c r="B17" s="82"/>
      <c r="D17" s="580" t="s">
        <v>376</v>
      </c>
      <c r="G17" s="57">
        <f>L23</f>
        <v>175623055.9</v>
      </c>
      <c r="H17" s="163"/>
      <c r="J17" s="652">
        <v>1.6884E8</v>
      </c>
      <c r="K17" s="655" t="s">
        <v>376</v>
      </c>
      <c r="M17" s="57"/>
      <c r="N17" s="57"/>
    </row>
    <row r="18">
      <c r="B18" s="82"/>
      <c r="H18" s="163"/>
      <c r="K18" s="656">
        <v>2018.0</v>
      </c>
      <c r="L18" s="656">
        <v>2019.0</v>
      </c>
      <c r="M18" s="656">
        <v>2020.0</v>
      </c>
      <c r="N18" s="656">
        <v>2021.0</v>
      </c>
    </row>
    <row r="19">
      <c r="B19" s="82"/>
      <c r="D19" s="624" t="s">
        <v>377</v>
      </c>
      <c r="F19" s="639" t="s">
        <v>316</v>
      </c>
      <c r="H19" s="654">
        <f>sum(G17:G18)</f>
        <v>175623055.9</v>
      </c>
      <c r="I19" s="57"/>
      <c r="J19" s="652" t="s">
        <v>368</v>
      </c>
      <c r="K19" s="394">
        <v>1.16039E8</v>
      </c>
      <c r="L19" s="394">
        <v>1.39023E8</v>
      </c>
      <c r="M19" s="394">
        <v>1.40373E8</v>
      </c>
      <c r="N19" s="394">
        <v>1.6884E8</v>
      </c>
    </row>
    <row r="20">
      <c r="B20" s="627" t="s">
        <v>378</v>
      </c>
      <c r="C20" s="227"/>
      <c r="D20" s="227"/>
      <c r="E20" s="227"/>
      <c r="F20" s="57"/>
      <c r="G20" s="57"/>
      <c r="H20" s="163"/>
      <c r="I20" s="57"/>
      <c r="J20" s="652"/>
      <c r="K20" s="96" t="s">
        <v>379</v>
      </c>
      <c r="L20" s="657">
        <f t="shared" ref="L20:N20" si="1">L19/K19-1</f>
        <v>0.1980713381</v>
      </c>
      <c r="M20" s="657">
        <f t="shared" si="1"/>
        <v>0.009710623422</v>
      </c>
      <c r="N20" s="657">
        <f t="shared" si="1"/>
        <v>0.2027954094</v>
      </c>
    </row>
    <row r="21">
      <c r="B21" s="506" t="s">
        <v>338</v>
      </c>
      <c r="C21" s="227"/>
      <c r="D21" s="580" t="s">
        <v>380</v>
      </c>
      <c r="F21" s="57"/>
      <c r="G21" s="57">
        <f t="shared" ref="G21:G22" si="2">J21</f>
        <v>23732000</v>
      </c>
      <c r="H21" s="163"/>
      <c r="I21" s="57"/>
      <c r="J21" s="658">
        <v>2.3732E7</v>
      </c>
      <c r="K21" s="394" t="s">
        <v>187</v>
      </c>
      <c r="L21" s="659">
        <f>Average(L20:N20)</f>
        <v>0.1368591236</v>
      </c>
      <c r="M21" s="57"/>
      <c r="N21" s="57"/>
    </row>
    <row r="22">
      <c r="B22" s="82"/>
      <c r="C22" s="57"/>
      <c r="D22" s="580" t="s">
        <v>381</v>
      </c>
      <c r="F22" s="57"/>
      <c r="G22" s="57">
        <f t="shared" si="2"/>
        <v>1441051000</v>
      </c>
      <c r="H22" s="163"/>
      <c r="I22" s="57"/>
      <c r="J22" s="660">
        <v>1.441051E9</v>
      </c>
      <c r="K22" s="661" t="s">
        <v>382</v>
      </c>
      <c r="L22" s="57">
        <f>(N19*L21)+N19</f>
        <v>191947294.4</v>
      </c>
      <c r="M22" s="57"/>
      <c r="N22" s="57"/>
    </row>
    <row r="23">
      <c r="B23" s="506" t="s">
        <v>262</v>
      </c>
      <c r="C23" s="227"/>
      <c r="D23" s="662" t="s">
        <v>383</v>
      </c>
      <c r="E23" s="227"/>
      <c r="F23" s="663"/>
      <c r="G23" s="57"/>
      <c r="H23" s="163"/>
      <c r="I23" s="57"/>
      <c r="J23" s="652"/>
      <c r="K23" s="661" t="s">
        <v>382</v>
      </c>
      <c r="L23" s="57">
        <f>(N19*'Rough work'!G16)+N19</f>
        <v>175623055.9</v>
      </c>
      <c r="M23" s="394" t="s">
        <v>384</v>
      </c>
      <c r="N23" s="57"/>
    </row>
    <row r="24">
      <c r="B24" s="264" t="s">
        <v>275</v>
      </c>
      <c r="C24" s="580"/>
      <c r="D24" s="664" t="s">
        <v>385</v>
      </c>
      <c r="F24" s="57"/>
      <c r="G24" s="381">
        <f>-N26</f>
        <v>-7911000</v>
      </c>
      <c r="H24" s="163"/>
      <c r="I24" s="57"/>
      <c r="J24" s="652" t="s">
        <v>368</v>
      </c>
    </row>
    <row r="25">
      <c r="B25" s="264"/>
      <c r="C25" s="37"/>
      <c r="D25" s="580"/>
      <c r="E25" s="580" t="s">
        <v>386</v>
      </c>
      <c r="F25" s="57"/>
      <c r="G25" s="665">
        <f>-N28</f>
        <v>-1073022000</v>
      </c>
      <c r="H25" s="163"/>
      <c r="I25" s="57"/>
      <c r="J25" s="652" t="s">
        <v>368</v>
      </c>
      <c r="K25" s="666" t="s">
        <v>387</v>
      </c>
      <c r="L25" s="656">
        <v>2020.0</v>
      </c>
      <c r="M25" s="667">
        <v>44390.0</v>
      </c>
      <c r="N25" s="656">
        <v>2022.0</v>
      </c>
    </row>
    <row r="26">
      <c r="B26" s="264"/>
      <c r="C26" s="37"/>
      <c r="D26" s="624" t="s">
        <v>388</v>
      </c>
      <c r="F26" s="639" t="s">
        <v>316</v>
      </c>
      <c r="H26" s="654">
        <f>(G21+G22)+(G24+G25)</f>
        <v>383850000</v>
      </c>
      <c r="I26" s="57"/>
      <c r="J26" s="652" t="s">
        <v>368</v>
      </c>
      <c r="K26" s="668" t="s">
        <v>380</v>
      </c>
      <c r="L26" s="507">
        <v>2637000.0</v>
      </c>
      <c r="M26" s="507">
        <f>L26+L26</f>
        <v>5274000</v>
      </c>
      <c r="N26" s="669">
        <f>M26+L26</f>
        <v>7911000</v>
      </c>
    </row>
    <row r="27">
      <c r="B27" s="82"/>
      <c r="C27" s="57"/>
      <c r="D27" s="624"/>
      <c r="E27" s="624"/>
      <c r="F27" s="639"/>
      <c r="G27" s="639"/>
      <c r="H27" s="670"/>
      <c r="I27" s="57"/>
      <c r="J27" s="652" t="s">
        <v>368</v>
      </c>
      <c r="K27" s="671" t="s">
        <v>389</v>
      </c>
      <c r="L27" s="509">
        <v>2637000.0</v>
      </c>
      <c r="M27" s="672"/>
      <c r="N27" s="673"/>
    </row>
    <row r="28">
      <c r="B28" s="82"/>
      <c r="C28" s="57"/>
      <c r="D28" s="615" t="s">
        <v>390</v>
      </c>
      <c r="F28" s="644" t="s">
        <v>316</v>
      </c>
      <c r="H28" s="674">
        <f>sum(H15,H19,H26)</f>
        <v>4288520036</v>
      </c>
      <c r="I28" s="57"/>
      <c r="J28" s="652" t="s">
        <v>368</v>
      </c>
      <c r="K28" s="675" t="s">
        <v>381</v>
      </c>
      <c r="L28" s="676">
        <v>1.032586E9</v>
      </c>
      <c r="M28" s="677">
        <f>L28+L29</f>
        <v>1052804000</v>
      </c>
      <c r="N28" s="678">
        <f>M28+L29</f>
        <v>1073022000</v>
      </c>
    </row>
    <row r="29">
      <c r="B29" s="447"/>
      <c r="C29" s="227"/>
      <c r="D29" s="227"/>
      <c r="E29" s="227"/>
      <c r="F29" s="227"/>
      <c r="G29" s="227"/>
      <c r="H29" s="228"/>
      <c r="I29" s="57"/>
      <c r="J29" s="652" t="s">
        <v>368</v>
      </c>
      <c r="K29" s="671" t="s">
        <v>389</v>
      </c>
      <c r="L29" s="509">
        <v>2.0218E7</v>
      </c>
      <c r="M29" s="672"/>
      <c r="N29" s="679"/>
    </row>
    <row r="30">
      <c r="B30" s="449" t="s">
        <v>391</v>
      </c>
      <c r="C30" s="20"/>
      <c r="D30" s="20"/>
      <c r="E30" s="20"/>
      <c r="F30" s="20"/>
      <c r="G30" s="20"/>
      <c r="H30" s="21"/>
      <c r="I30" s="57"/>
      <c r="J30" s="652" t="s">
        <v>368</v>
      </c>
      <c r="K30" s="57"/>
      <c r="L30" s="57"/>
      <c r="M30" s="57"/>
      <c r="N30" s="57"/>
    </row>
    <row r="31">
      <c r="B31" s="627" t="s">
        <v>392</v>
      </c>
      <c r="C31" s="227"/>
      <c r="D31" s="227"/>
      <c r="E31" s="227"/>
      <c r="F31" s="581"/>
      <c r="G31" s="581"/>
      <c r="H31" s="583"/>
      <c r="I31" s="57"/>
      <c r="J31" s="652" t="s">
        <v>368</v>
      </c>
      <c r="K31" s="57"/>
      <c r="L31" s="57"/>
      <c r="M31" s="57"/>
      <c r="N31" s="57"/>
    </row>
    <row r="32">
      <c r="B32" s="506" t="s">
        <v>276</v>
      </c>
      <c r="C32" s="227"/>
      <c r="D32" s="580" t="s">
        <v>393</v>
      </c>
      <c r="F32" s="581"/>
      <c r="G32" s="581">
        <f>'8. Cash Disbursement'!G8*'8. Cash Disbursement'!C15</f>
        <v>527135867.6</v>
      </c>
      <c r="H32" s="583"/>
      <c r="I32" s="57"/>
      <c r="J32" s="652" t="s">
        <v>368</v>
      </c>
      <c r="K32" s="96"/>
      <c r="M32" s="622"/>
      <c r="N32" s="57"/>
    </row>
    <row r="33">
      <c r="B33" s="82"/>
      <c r="C33" s="57"/>
      <c r="D33" s="580" t="s">
        <v>394</v>
      </c>
      <c r="F33" s="639"/>
      <c r="G33" s="664">
        <v>7.995E7</v>
      </c>
      <c r="H33" s="680"/>
      <c r="I33" s="57"/>
      <c r="J33" s="652"/>
      <c r="N33" s="57"/>
    </row>
    <row r="34">
      <c r="B34" s="82"/>
      <c r="C34" s="57"/>
      <c r="D34" s="580" t="s">
        <v>395</v>
      </c>
      <c r="F34" s="639"/>
      <c r="G34" s="664">
        <f>J34</f>
        <v>1953000</v>
      </c>
      <c r="H34" s="680"/>
      <c r="I34" s="57"/>
      <c r="J34" s="652">
        <v>1953000.0</v>
      </c>
      <c r="N34" s="57"/>
    </row>
    <row r="35">
      <c r="B35" s="82"/>
      <c r="C35" s="57"/>
      <c r="D35" s="681" t="s">
        <v>396</v>
      </c>
      <c r="F35" s="639"/>
      <c r="G35" s="664">
        <v>4312000.0</v>
      </c>
      <c r="H35" s="680"/>
      <c r="I35" s="57"/>
      <c r="J35" s="652"/>
      <c r="N35" s="57"/>
    </row>
    <row r="36">
      <c r="B36" s="82"/>
      <c r="C36" s="57"/>
      <c r="D36" s="624" t="s">
        <v>397</v>
      </c>
      <c r="F36" s="639" t="s">
        <v>316</v>
      </c>
      <c r="H36" s="682">
        <f>sum(G32:G35)</f>
        <v>613350867.6</v>
      </c>
      <c r="I36" s="57"/>
      <c r="J36" s="652"/>
      <c r="N36" s="57"/>
    </row>
    <row r="37">
      <c r="B37" s="82"/>
      <c r="C37" s="57"/>
      <c r="D37" s="624"/>
      <c r="E37" s="624"/>
      <c r="F37" s="639"/>
      <c r="G37" s="639"/>
      <c r="H37" s="680"/>
      <c r="I37" s="57"/>
      <c r="J37" s="652" t="s">
        <v>368</v>
      </c>
      <c r="K37" s="581"/>
      <c r="N37" s="57"/>
    </row>
    <row r="38">
      <c r="B38" s="627" t="s">
        <v>398</v>
      </c>
      <c r="C38" s="227"/>
      <c r="D38" s="227"/>
      <c r="E38" s="227"/>
      <c r="F38" s="581"/>
      <c r="G38" s="581"/>
      <c r="H38" s="583"/>
      <c r="I38" s="57"/>
      <c r="J38" s="652"/>
      <c r="K38" s="581"/>
      <c r="L38" s="581"/>
      <c r="M38" s="57"/>
      <c r="N38" s="57"/>
    </row>
    <row r="39">
      <c r="B39" s="82"/>
      <c r="C39" s="57"/>
      <c r="D39" s="580" t="s">
        <v>399</v>
      </c>
      <c r="F39" s="581"/>
      <c r="G39" s="664">
        <v>1.1E8</v>
      </c>
      <c r="H39" s="583"/>
      <c r="I39" s="57"/>
      <c r="J39" s="652"/>
      <c r="K39" s="581"/>
      <c r="L39" s="581"/>
      <c r="M39" s="57"/>
      <c r="N39" s="57"/>
    </row>
    <row r="40">
      <c r="B40" s="82"/>
      <c r="C40" s="57"/>
      <c r="D40" s="580" t="s">
        <v>400</v>
      </c>
      <c r="G40" s="96">
        <v>2.6127849E7</v>
      </c>
      <c r="H40" s="583"/>
      <c r="I40" s="57"/>
      <c r="J40" s="652">
        <v>2.825E7</v>
      </c>
      <c r="K40" s="581"/>
      <c r="L40" s="581"/>
      <c r="M40" s="57"/>
      <c r="N40" s="57"/>
    </row>
    <row r="41">
      <c r="B41" s="82"/>
      <c r="C41" s="57"/>
      <c r="D41" s="624" t="s">
        <v>401</v>
      </c>
      <c r="F41" s="639" t="s">
        <v>316</v>
      </c>
      <c r="H41" s="654">
        <f>sum(F39:G40)</f>
        <v>136127849</v>
      </c>
      <c r="I41" s="57"/>
      <c r="J41" s="652"/>
      <c r="K41" s="581"/>
      <c r="L41" s="581"/>
      <c r="M41" s="57"/>
      <c r="N41" s="57"/>
    </row>
    <row r="42">
      <c r="B42" s="82"/>
      <c r="C42" s="57"/>
      <c r="G42" s="581"/>
      <c r="H42" s="583"/>
      <c r="I42" s="57"/>
      <c r="J42" s="652"/>
      <c r="K42" s="581"/>
      <c r="L42" s="581"/>
      <c r="M42" s="57"/>
      <c r="N42" s="57"/>
    </row>
    <row r="43">
      <c r="B43" s="627" t="s">
        <v>402</v>
      </c>
      <c r="C43" s="227"/>
      <c r="D43" s="227"/>
      <c r="E43" s="227"/>
      <c r="F43" s="581"/>
      <c r="G43" s="581"/>
      <c r="H43" s="583"/>
      <c r="I43" s="57"/>
      <c r="J43" s="652" t="s">
        <v>368</v>
      </c>
      <c r="K43" s="581"/>
      <c r="M43" s="57"/>
      <c r="N43" s="57"/>
    </row>
    <row r="44">
      <c r="B44" s="82"/>
      <c r="C44" s="57"/>
      <c r="F44" s="639"/>
      <c r="H44" s="583"/>
      <c r="I44" s="57"/>
      <c r="J44" s="652"/>
      <c r="K44" s="581"/>
      <c r="L44" s="581"/>
      <c r="M44" s="57"/>
      <c r="N44" s="57"/>
    </row>
    <row r="45">
      <c r="B45" s="82"/>
      <c r="C45" s="57"/>
      <c r="D45" s="580" t="s">
        <v>403</v>
      </c>
      <c r="F45" s="581">
        <f>'9. Cash Budget'!K31</f>
        <v>1562500000</v>
      </c>
      <c r="H45" s="683"/>
      <c r="I45" s="57"/>
      <c r="J45" s="652" t="s">
        <v>368</v>
      </c>
      <c r="K45" s="581"/>
      <c r="L45" s="581"/>
      <c r="M45" s="57"/>
      <c r="N45" s="57"/>
    </row>
    <row r="46">
      <c r="B46" s="684"/>
      <c r="C46" s="685"/>
      <c r="D46" s="624" t="s">
        <v>404</v>
      </c>
      <c r="F46" s="639" t="s">
        <v>316</v>
      </c>
      <c r="H46" s="654">
        <f>sum(F44:G45)</f>
        <v>1562500000</v>
      </c>
      <c r="I46" s="57"/>
      <c r="J46" s="652" t="s">
        <v>368</v>
      </c>
      <c r="K46" s="581"/>
      <c r="M46" s="57"/>
      <c r="N46" s="57"/>
    </row>
    <row r="47">
      <c r="B47" s="82"/>
      <c r="C47" s="57"/>
      <c r="D47" s="624"/>
      <c r="E47" s="624"/>
      <c r="F47" s="639"/>
      <c r="G47" s="639"/>
      <c r="H47" s="670"/>
      <c r="I47" s="57"/>
      <c r="J47" s="652" t="s">
        <v>368</v>
      </c>
      <c r="K47" s="581"/>
      <c r="M47" s="57"/>
      <c r="N47" s="57"/>
    </row>
    <row r="48">
      <c r="B48" s="627" t="s">
        <v>405</v>
      </c>
      <c r="C48" s="227"/>
      <c r="D48" s="227"/>
      <c r="E48" s="227"/>
      <c r="F48" s="57"/>
      <c r="G48" s="57"/>
      <c r="H48" s="163"/>
      <c r="I48" s="57"/>
      <c r="J48" s="651"/>
      <c r="K48" s="581"/>
      <c r="L48" s="581"/>
      <c r="M48" s="57"/>
      <c r="N48" s="57"/>
    </row>
    <row r="49">
      <c r="B49" s="506" t="s">
        <v>406</v>
      </c>
      <c r="C49" s="227"/>
      <c r="D49" s="580" t="s">
        <v>407</v>
      </c>
      <c r="F49" s="581"/>
      <c r="G49" s="581">
        <f>'11. Income Statement'!G18+J49</f>
        <v>1826541319</v>
      </c>
      <c r="H49" s="583"/>
      <c r="I49" s="57"/>
      <c r="J49" s="652">
        <v>1.20111E8</v>
      </c>
      <c r="K49" s="581"/>
      <c r="M49" s="57"/>
      <c r="N49" s="57"/>
    </row>
    <row r="50">
      <c r="B50" s="82"/>
      <c r="C50" s="57"/>
      <c r="D50" s="580" t="s">
        <v>408</v>
      </c>
      <c r="F50" s="639"/>
      <c r="G50" s="664">
        <v>1.5E8</v>
      </c>
      <c r="H50" s="670"/>
      <c r="I50" s="57"/>
      <c r="J50" s="651"/>
      <c r="K50" s="581"/>
      <c r="L50" s="581"/>
      <c r="M50" s="57"/>
      <c r="N50" s="57"/>
    </row>
    <row r="51">
      <c r="B51" s="82"/>
      <c r="C51" s="57"/>
      <c r="D51" s="624" t="s">
        <v>409</v>
      </c>
      <c r="F51" s="639" t="s">
        <v>316</v>
      </c>
      <c r="H51" s="686">
        <f>sum(G49:G50)</f>
        <v>1976541319</v>
      </c>
      <c r="I51" s="57"/>
      <c r="J51" s="651"/>
      <c r="K51" s="581"/>
      <c r="M51" s="57"/>
      <c r="N51" s="57"/>
    </row>
    <row r="52">
      <c r="B52" s="82"/>
      <c r="C52" s="57"/>
      <c r="D52" s="624"/>
      <c r="E52" s="624"/>
      <c r="F52" s="639"/>
      <c r="G52" s="639"/>
      <c r="H52" s="670"/>
      <c r="I52" s="57"/>
      <c r="J52" s="652" t="s">
        <v>368</v>
      </c>
      <c r="K52" s="581"/>
      <c r="N52" s="57"/>
    </row>
    <row r="53">
      <c r="B53" s="82"/>
      <c r="C53" s="57"/>
      <c r="D53" s="615" t="s">
        <v>410</v>
      </c>
      <c r="F53" s="644" t="s">
        <v>316</v>
      </c>
      <c r="H53" s="674">
        <f>sum(H46,H51,H36,H41)</f>
        <v>4288520036</v>
      </c>
      <c r="I53" s="57"/>
      <c r="J53" s="652" t="s">
        <v>368</v>
      </c>
      <c r="K53" s="581"/>
      <c r="N53" s="57"/>
    </row>
    <row r="54">
      <c r="B54" s="267"/>
      <c r="C54" s="197"/>
      <c r="D54" s="197"/>
      <c r="E54" s="197"/>
      <c r="F54" s="197"/>
      <c r="G54" s="197"/>
      <c r="H54" s="352"/>
      <c r="I54" s="57"/>
      <c r="J54" s="652" t="s">
        <v>368</v>
      </c>
      <c r="K54" s="581"/>
      <c r="M54" s="57"/>
      <c r="N54" s="57"/>
    </row>
  </sheetData>
  <mergeCells count="73">
    <mergeCell ref="B43:E43"/>
    <mergeCell ref="D45:E45"/>
    <mergeCell ref="F45:G45"/>
    <mergeCell ref="D46:E46"/>
    <mergeCell ref="F46:G46"/>
    <mergeCell ref="D35:E35"/>
    <mergeCell ref="D36:E36"/>
    <mergeCell ref="B38:E38"/>
    <mergeCell ref="D39:E39"/>
    <mergeCell ref="D40:E40"/>
    <mergeCell ref="D41:E41"/>
    <mergeCell ref="F41:G41"/>
    <mergeCell ref="K52:L52"/>
    <mergeCell ref="K53:L53"/>
    <mergeCell ref="K32:L36"/>
    <mergeCell ref="K37:L37"/>
    <mergeCell ref="K43:L43"/>
    <mergeCell ref="K46:L46"/>
    <mergeCell ref="K47:L47"/>
    <mergeCell ref="K49:L49"/>
    <mergeCell ref="K51:L51"/>
    <mergeCell ref="B3:H4"/>
    <mergeCell ref="B5:H5"/>
    <mergeCell ref="B6:H6"/>
    <mergeCell ref="B7:E7"/>
    <mergeCell ref="B8:C8"/>
    <mergeCell ref="D8:E8"/>
    <mergeCell ref="D9:E9"/>
    <mergeCell ref="B9:C9"/>
    <mergeCell ref="B10:C10"/>
    <mergeCell ref="D10:E10"/>
    <mergeCell ref="B11:C11"/>
    <mergeCell ref="D11:E11"/>
    <mergeCell ref="B12:C12"/>
    <mergeCell ref="D12:E12"/>
    <mergeCell ref="D14:E14"/>
    <mergeCell ref="D15:E15"/>
    <mergeCell ref="F15:G15"/>
    <mergeCell ref="B16:E16"/>
    <mergeCell ref="D17:E17"/>
    <mergeCell ref="K17:L17"/>
    <mergeCell ref="F19:G19"/>
    <mergeCell ref="D24:E24"/>
    <mergeCell ref="D26:E26"/>
    <mergeCell ref="F26:G26"/>
    <mergeCell ref="D28:E28"/>
    <mergeCell ref="F28:G28"/>
    <mergeCell ref="B29:H29"/>
    <mergeCell ref="B30:H30"/>
    <mergeCell ref="B31:E31"/>
    <mergeCell ref="B32:C32"/>
    <mergeCell ref="D32:E32"/>
    <mergeCell ref="M32:M36"/>
    <mergeCell ref="D33:E33"/>
    <mergeCell ref="D34:E34"/>
    <mergeCell ref="F36:G36"/>
    <mergeCell ref="D19:E19"/>
    <mergeCell ref="B20:E20"/>
    <mergeCell ref="B21:C21"/>
    <mergeCell ref="D21:E21"/>
    <mergeCell ref="D22:E22"/>
    <mergeCell ref="B23:C23"/>
    <mergeCell ref="D23:E23"/>
    <mergeCell ref="F53:G53"/>
    <mergeCell ref="B54:H54"/>
    <mergeCell ref="K54:L54"/>
    <mergeCell ref="B48:E48"/>
    <mergeCell ref="B49:C49"/>
    <mergeCell ref="D49:E49"/>
    <mergeCell ref="D50:E50"/>
    <mergeCell ref="D51:E51"/>
    <mergeCell ref="F51:G51"/>
    <mergeCell ref="D53:E53"/>
  </mergeCells>
  <drawing r:id="rId1"/>
</worksheet>
</file>